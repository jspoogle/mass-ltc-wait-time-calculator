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hrinershospitals-my.sharepoint.com/personal/jeremy_spitzer_shrinenet_org/Documents/Documents/Productive Stuffs/"/>
    </mc:Choice>
  </mc:AlternateContent>
  <xr:revisionPtr revIDLastSave="2041" documentId="8_{1CAB25C9-AAAA-47F9-8791-C56084BD7C4F}" xr6:coauthVersionLast="47" xr6:coauthVersionMax="47" xr10:uidLastSave="{E99049EA-BA72-482E-A4B6-FF8AF47295E7}"/>
  <bookViews>
    <workbookView xWindow="-120" yWindow="-120" windowWidth="21840" windowHeight="13020" xr2:uid="{460D2627-FC1F-4D18-B3BC-9BD0EC944256}"/>
  </bookViews>
  <sheets>
    <sheet name="Sheet1 (2)" sheetId="4" r:id="rId1"/>
    <sheet name="Historical" sheetId="5" r:id="rId2"/>
    <sheet name="Inputs" sheetId="6" r:id="rId3"/>
    <sheet name="Simulation" sheetId="7" r:id="rId4"/>
    <sheet name="Sheet1" sheetId="1" r:id="rId5"/>
    <sheet name="Sheet2" sheetId="2" r:id="rId6"/>
    <sheet name="Sheet3" sheetId="3" r:id="rId7"/>
  </sheets>
  <externalReferences>
    <externalReference r:id="rId8"/>
  </externalReferences>
  <definedNames>
    <definedName name="_xlchart.v1.0" hidden="1">Sheet3!$V$23:$V$33</definedName>
    <definedName name="_xlchart.v1.1" hidden="1">Sheet3!$W$22</definedName>
    <definedName name="_xlchart.v1.2" hidden="1">Sheet3!$W$23:$W$33</definedName>
    <definedName name="_xlchart.v1.3" hidden="1">Sheet3!$X$22</definedName>
    <definedName name="_xlchart.v1.4" hidden="1">Sheet3!$X$23:$X$33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4" l="1"/>
  <c r="F93" i="4"/>
  <c r="F92" i="4"/>
  <c r="F102" i="4" s="1"/>
  <c r="D28" i="4"/>
  <c r="E28" i="4"/>
  <c r="D29" i="4"/>
  <c r="F29" i="4" s="1"/>
  <c r="E29" i="4"/>
  <c r="D30" i="4"/>
  <c r="E30" i="4"/>
  <c r="D31" i="4"/>
  <c r="E31" i="4"/>
  <c r="F31" i="4" s="1"/>
  <c r="D32" i="4"/>
  <c r="E32" i="4"/>
  <c r="D33" i="4"/>
  <c r="E33" i="4"/>
  <c r="D34" i="4"/>
  <c r="E34" i="4"/>
  <c r="F34" i="4" s="1"/>
  <c r="D35" i="4"/>
  <c r="E35" i="4"/>
  <c r="D36" i="4"/>
  <c r="E36" i="4"/>
  <c r="D37" i="4"/>
  <c r="E37" i="4"/>
  <c r="F37" i="4" s="1"/>
  <c r="D38" i="4"/>
  <c r="E38" i="4"/>
  <c r="D39" i="4"/>
  <c r="E39" i="4"/>
  <c r="J28" i="4"/>
  <c r="L28" i="4"/>
  <c r="J29" i="4"/>
  <c r="L29" i="4"/>
  <c r="J30" i="4"/>
  <c r="L30" i="4"/>
  <c r="J31" i="4"/>
  <c r="L31" i="4"/>
  <c r="J32" i="4"/>
  <c r="L32" i="4"/>
  <c r="J33" i="4"/>
  <c r="L33" i="4"/>
  <c r="J34" i="4"/>
  <c r="L34" i="4"/>
  <c r="J35" i="4"/>
  <c r="L35" i="4"/>
  <c r="J36" i="4"/>
  <c r="L36" i="4"/>
  <c r="J37" i="4"/>
  <c r="L37" i="4"/>
  <c r="J38" i="4"/>
  <c r="L38" i="4"/>
  <c r="J39" i="4"/>
  <c r="L39" i="4"/>
  <c r="F33" i="4"/>
  <c r="F35" i="4"/>
  <c r="F39" i="4"/>
  <c r="D27" i="4"/>
  <c r="E27" i="4"/>
  <c r="F176" i="4"/>
  <c r="E156" i="4"/>
  <c r="E157" i="4"/>
  <c r="E158" i="4"/>
  <c r="E159" i="4"/>
  <c r="E160" i="4"/>
  <c r="E161" i="4"/>
  <c r="E162" i="4"/>
  <c r="E163" i="4"/>
  <c r="E164" i="4"/>
  <c r="E165" i="4"/>
  <c r="E166" i="4"/>
  <c r="E167" i="4"/>
  <c r="E168" i="4"/>
  <c r="E169" i="4"/>
  <c r="E170" i="4"/>
  <c r="E171" i="4"/>
  <c r="E172" i="4"/>
  <c r="E173" i="4"/>
  <c r="E174" i="4"/>
  <c r="E155" i="4"/>
  <c r="F136" i="4"/>
  <c r="L24" i="4"/>
  <c r="E25" i="4"/>
  <c r="D25" i="4"/>
  <c r="J24" i="4"/>
  <c r="J25" i="4"/>
  <c r="J26" i="4"/>
  <c r="J27" i="4"/>
  <c r="J22" i="4"/>
  <c r="J23" i="4"/>
  <c r="D22" i="4"/>
  <c r="E22" i="4"/>
  <c r="D23" i="4"/>
  <c r="E23" i="4"/>
  <c r="D24" i="4"/>
  <c r="E24" i="4"/>
  <c r="G3" i="7"/>
  <c r="G4" i="7" s="1"/>
  <c r="G5" i="7" s="1"/>
  <c r="G6" i="7" s="1"/>
  <c r="G7" i="7" s="1"/>
  <c r="G8" i="7" s="1"/>
  <c r="G9" i="7" s="1"/>
  <c r="G10" i="7" s="1"/>
  <c r="G11" i="7" s="1"/>
  <c r="G12" i="7" s="1"/>
  <c r="G13" i="7" s="1"/>
  <c r="G14" i="7" s="1"/>
  <c r="G15" i="7" s="1"/>
  <c r="G16" i="7" s="1"/>
  <c r="G17" i="7" s="1"/>
  <c r="G18" i="7" s="1"/>
  <c r="G19" i="7" s="1"/>
  <c r="G20" i="7" s="1"/>
  <c r="G21" i="7" s="1"/>
  <c r="G22" i="7" s="1"/>
  <c r="G23" i="7" s="1"/>
  <c r="G24" i="7" s="1"/>
  <c r="G25" i="7" s="1"/>
  <c r="G26" i="7" s="1"/>
  <c r="G27" i="7" s="1"/>
  <c r="G28" i="7" s="1"/>
  <c r="G29" i="7" s="1"/>
  <c r="G30" i="7" s="1"/>
  <c r="G31" i="7" s="1"/>
  <c r="G32" i="7" s="1"/>
  <c r="G33" i="7" s="1"/>
  <c r="G34" i="7" s="1"/>
  <c r="G35" i="7" s="1"/>
  <c r="G36" i="7" s="1"/>
  <c r="G37" i="7" s="1"/>
  <c r="G38" i="7" s="1"/>
  <c r="G39" i="7" s="1"/>
  <c r="G40" i="7" s="1"/>
  <c r="G41" i="7" s="1"/>
  <c r="G42" i="7" s="1"/>
  <c r="G43" i="7" s="1"/>
  <c r="G44" i="7" s="1"/>
  <c r="G45" i="7" s="1"/>
  <c r="B3" i="7" a="1"/>
  <c r="B3" i="7" s="1"/>
  <c r="C3" i="7" s="1"/>
  <c r="D3" i="7" s="1"/>
  <c r="B4" i="7" a="1"/>
  <c r="B4" i="7" s="1"/>
  <c r="C4" i="7" s="1"/>
  <c r="D4" i="7" s="1"/>
  <c r="B5" i="7" a="1"/>
  <c r="B5" i="7" s="1"/>
  <c r="C5" i="7" s="1"/>
  <c r="D5" i="7" s="1"/>
  <c r="B6" i="7" a="1"/>
  <c r="B6" i="7" s="1"/>
  <c r="C6" i="7" s="1"/>
  <c r="D6" i="7" s="1"/>
  <c r="B7" i="7" a="1"/>
  <c r="B7" i="7" s="1"/>
  <c r="C7" i="7" s="1"/>
  <c r="D7" i="7" s="1"/>
  <c r="B8" i="7" a="1"/>
  <c r="B8" i="7" s="1"/>
  <c r="C8" i="7" s="1"/>
  <c r="D8" i="7" s="1"/>
  <c r="B9" i="7" a="1"/>
  <c r="B9" i="7" s="1"/>
  <c r="B10" i="7" a="1"/>
  <c r="B10" i="7" s="1"/>
  <c r="C10" i="7" s="1"/>
  <c r="D10" i="7" s="1"/>
  <c r="B11" i="7" a="1"/>
  <c r="B11" i="7" s="1"/>
  <c r="C11" i="7" s="1"/>
  <c r="D11" i="7" s="1"/>
  <c r="B12" i="7" a="1"/>
  <c r="B12" i="7" s="1"/>
  <c r="C12" i="7" s="1"/>
  <c r="D12" i="7" s="1"/>
  <c r="B13" i="7" a="1"/>
  <c r="B13" i="7" s="1"/>
  <c r="C13" i="7" s="1"/>
  <c r="D13" i="7" s="1"/>
  <c r="B14" i="7" a="1"/>
  <c r="B14" i="7" s="1"/>
  <c r="C14" i="7" s="1"/>
  <c r="D14" i="7" s="1"/>
  <c r="B15" i="7" a="1"/>
  <c r="B15" i="7" s="1"/>
  <c r="C15" i="7" s="1"/>
  <c r="D15" i="7" s="1"/>
  <c r="B16" i="7" a="1"/>
  <c r="B16" i="7" s="1"/>
  <c r="C16" i="7" s="1"/>
  <c r="D16" i="7" s="1"/>
  <c r="B17" i="7" a="1"/>
  <c r="B17" i="7" s="1"/>
  <c r="C17" i="7" s="1"/>
  <c r="D17" i="7" s="1"/>
  <c r="B18" i="7" a="1"/>
  <c r="B18" i="7" s="1"/>
  <c r="C18" i="7" s="1"/>
  <c r="D18" i="7" s="1"/>
  <c r="B19" i="7" a="1"/>
  <c r="B19" i="7" s="1"/>
  <c r="C19" i="7" s="1"/>
  <c r="D19" i="7" s="1"/>
  <c r="B20" i="7" a="1"/>
  <c r="B20" i="7" s="1"/>
  <c r="C20" i="7" s="1"/>
  <c r="D20" i="7" s="1"/>
  <c r="B21" i="7" a="1"/>
  <c r="B21" i="7" s="1"/>
  <c r="C21" i="7" s="1"/>
  <c r="D21" i="7" s="1"/>
  <c r="B22" i="7" a="1"/>
  <c r="B22" i="7" s="1"/>
  <c r="C22" i="7" s="1"/>
  <c r="D22" i="7" s="1"/>
  <c r="B23" i="7" a="1"/>
  <c r="B23" i="7" s="1"/>
  <c r="C23" i="7" s="1"/>
  <c r="D23" i="7" s="1"/>
  <c r="B24" i="7" a="1"/>
  <c r="B24" i="7" s="1"/>
  <c r="C24" i="7" s="1"/>
  <c r="D24" i="7" s="1"/>
  <c r="B25" i="7" a="1"/>
  <c r="B25" i="7" s="1"/>
  <c r="C25" i="7" s="1"/>
  <c r="D25" i="7" s="1"/>
  <c r="B26" i="7" a="1"/>
  <c r="B26" i="7" s="1"/>
  <c r="C26" i="7" s="1"/>
  <c r="D26" i="7" s="1"/>
  <c r="B27" i="7" a="1"/>
  <c r="B27" i="7" s="1"/>
  <c r="C27" i="7" s="1"/>
  <c r="D27" i="7" s="1"/>
  <c r="B28" i="7" a="1"/>
  <c r="B28" i="7" s="1"/>
  <c r="C28" i="7" s="1"/>
  <c r="D28" i="7" s="1"/>
  <c r="B29" i="7" a="1"/>
  <c r="B29" i="7" s="1"/>
  <c r="C29" i="7" s="1"/>
  <c r="D29" i="7" s="1"/>
  <c r="B30" i="7" a="1"/>
  <c r="B30" i="7" s="1"/>
  <c r="C30" i="7" s="1"/>
  <c r="D30" i="7" s="1"/>
  <c r="B31" i="7" a="1"/>
  <c r="B31" i="7" s="1"/>
  <c r="C31" i="7" s="1"/>
  <c r="D31" i="7" s="1"/>
  <c r="B32" i="7" a="1"/>
  <c r="B32" i="7" s="1"/>
  <c r="C32" i="7" s="1"/>
  <c r="D32" i="7" s="1"/>
  <c r="B33" i="7" a="1"/>
  <c r="B33" i="7" s="1"/>
  <c r="C33" i="7" s="1"/>
  <c r="D33" i="7" s="1"/>
  <c r="B34" i="7" a="1"/>
  <c r="B34" i="7" s="1"/>
  <c r="C34" i="7" s="1"/>
  <c r="D34" i="7" s="1"/>
  <c r="B35" i="7" a="1"/>
  <c r="B35" i="7" s="1"/>
  <c r="C35" i="7" s="1"/>
  <c r="D35" i="7" s="1"/>
  <c r="B36" i="7" a="1"/>
  <c r="B36" i="7" s="1"/>
  <c r="C36" i="7" s="1"/>
  <c r="D36" i="7" s="1"/>
  <c r="B37" i="7" a="1"/>
  <c r="B37" i="7" s="1"/>
  <c r="C37" i="7" s="1"/>
  <c r="D37" i="7" s="1"/>
  <c r="B38" i="7" a="1"/>
  <c r="B38" i="7" s="1"/>
  <c r="C38" i="7" s="1"/>
  <c r="D38" i="7" s="1"/>
  <c r="B39" i="7" a="1"/>
  <c r="B39" i="7" s="1"/>
  <c r="C39" i="7" s="1"/>
  <c r="D39" i="7" s="1"/>
  <c r="B40" i="7" a="1"/>
  <c r="B40" i="7" s="1"/>
  <c r="C40" i="7" s="1"/>
  <c r="D40" i="7" s="1"/>
  <c r="B41" i="7" a="1"/>
  <c r="B41" i="7" s="1"/>
  <c r="C41" i="7" s="1"/>
  <c r="D41" i="7" s="1"/>
  <c r="B42" i="7" a="1"/>
  <c r="B42" i="7" s="1"/>
  <c r="C42" i="7" s="1"/>
  <c r="D42" i="7" s="1"/>
  <c r="B43" i="7" a="1"/>
  <c r="B43" i="7" s="1"/>
  <c r="C43" i="7" s="1"/>
  <c r="D43" i="7" s="1"/>
  <c r="B44" i="7" a="1"/>
  <c r="B44" i="7" s="1"/>
  <c r="C44" i="7" s="1"/>
  <c r="D44" i="7" s="1"/>
  <c r="B45" i="7" a="1"/>
  <c r="B45" i="7" s="1"/>
  <c r="C45" i="7" s="1"/>
  <c r="D45" i="7" s="1"/>
  <c r="B46" i="7" a="1"/>
  <c r="B46" i="7" s="1"/>
  <c r="C46" i="7" s="1"/>
  <c r="D46" i="7" s="1"/>
  <c r="B47" i="7" a="1"/>
  <c r="B47" i="7" s="1"/>
  <c r="C47" i="7" s="1"/>
  <c r="D47" i="7" s="1"/>
  <c r="B48" i="7" a="1"/>
  <c r="B48" i="7" s="1"/>
  <c r="C48" i="7" s="1"/>
  <c r="D48" i="7" s="1"/>
  <c r="B49" i="7" a="1"/>
  <c r="B49" i="7" s="1"/>
  <c r="C49" i="7" s="1"/>
  <c r="D49" i="7" s="1"/>
  <c r="B50" i="7" a="1"/>
  <c r="B50" i="7" s="1"/>
  <c r="C50" i="7" s="1"/>
  <c r="D50" i="7" s="1"/>
  <c r="B51" i="7" a="1"/>
  <c r="B51" i="7" s="1"/>
  <c r="C51" i="7" s="1"/>
  <c r="D51" i="7" s="1"/>
  <c r="B52" i="7" a="1"/>
  <c r="B52" i="7" s="1"/>
  <c r="C52" i="7" s="1"/>
  <c r="D52" i="7" s="1"/>
  <c r="B53" i="7" a="1"/>
  <c r="B53" i="7" s="1"/>
  <c r="C53" i="7" s="1"/>
  <c r="D53" i="7" s="1"/>
  <c r="B54" i="7" a="1"/>
  <c r="B54" i="7" s="1"/>
  <c r="C54" i="7" s="1"/>
  <c r="D54" i="7" s="1"/>
  <c r="B55" i="7" a="1"/>
  <c r="B55" i="7" s="1"/>
  <c r="C55" i="7" s="1"/>
  <c r="D55" i="7" s="1"/>
  <c r="B56" i="7" a="1"/>
  <c r="B56" i="7" s="1"/>
  <c r="C56" i="7" s="1"/>
  <c r="D56" i="7" s="1"/>
  <c r="B57" i="7" a="1"/>
  <c r="B57" i="7" s="1"/>
  <c r="C57" i="7" s="1"/>
  <c r="D57" i="7" s="1"/>
  <c r="B58" i="7" a="1"/>
  <c r="B58" i="7" s="1"/>
  <c r="C58" i="7" s="1"/>
  <c r="D58" i="7" s="1"/>
  <c r="B59" i="7" a="1"/>
  <c r="B59" i="7" s="1"/>
  <c r="C59" i="7" s="1"/>
  <c r="D59" i="7" s="1"/>
  <c r="B60" i="7" a="1"/>
  <c r="B60" i="7" s="1"/>
  <c r="C60" i="7" s="1"/>
  <c r="D60" i="7" s="1"/>
  <c r="B61" i="7" a="1"/>
  <c r="B61" i="7" s="1"/>
  <c r="C61" i="7" s="1"/>
  <c r="D61" i="7" s="1"/>
  <c r="B62" i="7" a="1"/>
  <c r="B62" i="7" s="1"/>
  <c r="C62" i="7" s="1"/>
  <c r="D62" i="7" s="1"/>
  <c r="B63" i="7" a="1"/>
  <c r="B63" i="7" s="1"/>
  <c r="C63" i="7" s="1"/>
  <c r="D63" i="7" s="1"/>
  <c r="B64" i="7" a="1"/>
  <c r="B64" i="7" s="1"/>
  <c r="C64" i="7" s="1"/>
  <c r="D64" i="7" s="1"/>
  <c r="B65" i="7" a="1"/>
  <c r="B65" i="7" s="1"/>
  <c r="C65" i="7" s="1"/>
  <c r="D65" i="7" s="1"/>
  <c r="B66" i="7" a="1"/>
  <c r="B66" i="7" s="1"/>
  <c r="C66" i="7" s="1"/>
  <c r="D66" i="7" s="1"/>
  <c r="B67" i="7" a="1"/>
  <c r="B67" i="7" s="1"/>
  <c r="C67" i="7" s="1"/>
  <c r="D67" i="7" s="1"/>
  <c r="B68" i="7" a="1"/>
  <c r="B68" i="7" s="1"/>
  <c r="C68" i="7" s="1"/>
  <c r="D68" i="7" s="1"/>
  <c r="B69" i="7" a="1"/>
  <c r="B69" i="7" s="1"/>
  <c r="C69" i="7" s="1"/>
  <c r="D69" i="7" s="1"/>
  <c r="B70" i="7" a="1"/>
  <c r="B70" i="7" s="1"/>
  <c r="C70" i="7" s="1"/>
  <c r="D70" i="7" s="1"/>
  <c r="B71" i="7" a="1"/>
  <c r="B71" i="7" s="1"/>
  <c r="C71" i="7" s="1"/>
  <c r="D71" i="7" s="1"/>
  <c r="B72" i="7" a="1"/>
  <c r="B72" i="7" s="1"/>
  <c r="C72" i="7" s="1"/>
  <c r="D72" i="7" s="1"/>
  <c r="B73" i="7" a="1"/>
  <c r="B73" i="7" s="1"/>
  <c r="C73" i="7" s="1"/>
  <c r="D73" i="7" s="1"/>
  <c r="B74" i="7" a="1"/>
  <c r="B74" i="7" s="1"/>
  <c r="C74" i="7" s="1"/>
  <c r="D74" i="7" s="1"/>
  <c r="B75" i="7" a="1"/>
  <c r="B75" i="7" s="1"/>
  <c r="C75" i="7" s="1"/>
  <c r="D75" i="7" s="1"/>
  <c r="B76" i="7" a="1"/>
  <c r="B76" i="7" s="1"/>
  <c r="C76" i="7" s="1"/>
  <c r="D76" i="7" s="1"/>
  <c r="B77" i="7" a="1"/>
  <c r="B77" i="7" s="1"/>
  <c r="C77" i="7" s="1"/>
  <c r="D77" i="7" s="1"/>
  <c r="B78" i="7" a="1"/>
  <c r="B78" i="7" s="1"/>
  <c r="C78" i="7" s="1"/>
  <c r="D78" i="7" s="1"/>
  <c r="B79" i="7" a="1"/>
  <c r="B79" i="7" s="1"/>
  <c r="C79" i="7" s="1"/>
  <c r="D79" i="7" s="1"/>
  <c r="B80" i="7" a="1"/>
  <c r="B80" i="7" s="1"/>
  <c r="C80" i="7" s="1"/>
  <c r="D80" i="7" s="1"/>
  <c r="B81" i="7" a="1"/>
  <c r="B81" i="7" s="1"/>
  <c r="C81" i="7" s="1"/>
  <c r="D81" i="7" s="1"/>
  <c r="B82" i="7" a="1"/>
  <c r="B82" i="7" s="1"/>
  <c r="C82" i="7" s="1"/>
  <c r="D82" i="7" s="1"/>
  <c r="B83" i="7" a="1"/>
  <c r="B83" i="7" s="1"/>
  <c r="C83" i="7" s="1"/>
  <c r="D83" i="7" s="1"/>
  <c r="B84" i="7" a="1"/>
  <c r="B84" i="7" s="1"/>
  <c r="C84" i="7" s="1"/>
  <c r="D84" i="7" s="1"/>
  <c r="B85" i="7" a="1"/>
  <c r="B85" i="7" s="1"/>
  <c r="C85" i="7" s="1"/>
  <c r="D85" i="7" s="1"/>
  <c r="B86" i="7" a="1"/>
  <c r="B86" i="7" s="1"/>
  <c r="C86" i="7" s="1"/>
  <c r="D86" i="7" s="1"/>
  <c r="B87" i="7" a="1"/>
  <c r="B87" i="7" s="1"/>
  <c r="C87" i="7" s="1"/>
  <c r="D87" i="7" s="1"/>
  <c r="B88" i="7" a="1"/>
  <c r="B88" i="7" s="1"/>
  <c r="C88" i="7" s="1"/>
  <c r="D88" i="7" s="1"/>
  <c r="B89" i="7" a="1"/>
  <c r="B89" i="7" s="1"/>
  <c r="C89" i="7" s="1"/>
  <c r="D89" i="7" s="1"/>
  <c r="B90" i="7" a="1"/>
  <c r="B90" i="7" s="1"/>
  <c r="C90" i="7" s="1"/>
  <c r="D90" i="7" s="1"/>
  <c r="B91" i="7" a="1"/>
  <c r="B91" i="7" s="1"/>
  <c r="C91" i="7" s="1"/>
  <c r="D91" i="7" s="1"/>
  <c r="B92" i="7" a="1"/>
  <c r="B92" i="7" s="1"/>
  <c r="C92" i="7" s="1"/>
  <c r="D92" i="7" s="1"/>
  <c r="B93" i="7" a="1"/>
  <c r="B93" i="7" s="1"/>
  <c r="C93" i="7" s="1"/>
  <c r="D93" i="7" s="1"/>
  <c r="B94" i="7" a="1"/>
  <c r="B94" i="7" s="1"/>
  <c r="C94" i="7" s="1"/>
  <c r="D94" i="7" s="1"/>
  <c r="B95" i="7" a="1"/>
  <c r="B95" i="7" s="1"/>
  <c r="C95" i="7" s="1"/>
  <c r="D95" i="7" s="1"/>
  <c r="B96" i="7" a="1"/>
  <c r="B96" i="7" s="1"/>
  <c r="C96" i="7" s="1"/>
  <c r="D96" i="7" s="1"/>
  <c r="B97" i="7" a="1"/>
  <c r="B97" i="7" s="1"/>
  <c r="C97" i="7" s="1"/>
  <c r="D97" i="7" s="1"/>
  <c r="B98" i="7" a="1"/>
  <c r="B98" i="7" s="1"/>
  <c r="C98" i="7" s="1"/>
  <c r="D98" i="7" s="1"/>
  <c r="B99" i="7" a="1"/>
  <c r="B99" i="7" s="1"/>
  <c r="C99" i="7" s="1"/>
  <c r="D99" i="7" s="1"/>
  <c r="B100" i="7" a="1"/>
  <c r="B100" i="7" s="1"/>
  <c r="C100" i="7" s="1"/>
  <c r="D100" i="7" s="1"/>
  <c r="B101" i="7" a="1"/>
  <c r="B101" i="7" s="1"/>
  <c r="C101" i="7" s="1"/>
  <c r="D101" i="7" s="1"/>
  <c r="B102" i="7" a="1"/>
  <c r="B102" i="7" s="1"/>
  <c r="C102" i="7" s="1"/>
  <c r="D102" i="7" s="1"/>
  <c r="B103" i="7" a="1"/>
  <c r="B103" i="7" s="1"/>
  <c r="C103" i="7" s="1"/>
  <c r="D103" i="7" s="1"/>
  <c r="B104" i="7" a="1"/>
  <c r="B104" i="7" s="1"/>
  <c r="C104" i="7" s="1"/>
  <c r="D104" i="7" s="1"/>
  <c r="B105" i="7" a="1"/>
  <c r="B105" i="7" s="1"/>
  <c r="C105" i="7" s="1"/>
  <c r="D105" i="7" s="1"/>
  <c r="B106" i="7" a="1"/>
  <c r="B106" i="7" s="1"/>
  <c r="C106" i="7" s="1"/>
  <c r="D106" i="7" s="1"/>
  <c r="B107" i="7" a="1"/>
  <c r="B107" i="7" s="1"/>
  <c r="C107" i="7" s="1"/>
  <c r="D107" i="7" s="1"/>
  <c r="B108" i="7" a="1"/>
  <c r="B108" i="7" s="1"/>
  <c r="C108" i="7" s="1"/>
  <c r="D108" i="7" s="1"/>
  <c r="B109" i="7" a="1"/>
  <c r="B109" i="7" s="1"/>
  <c r="C109" i="7" s="1"/>
  <c r="D109" i="7" s="1"/>
  <c r="B110" i="7" a="1"/>
  <c r="B110" i="7" s="1"/>
  <c r="C110" i="7" s="1"/>
  <c r="D110" i="7" s="1"/>
  <c r="B111" i="7" a="1"/>
  <c r="B111" i="7" s="1"/>
  <c r="C111" i="7" s="1"/>
  <c r="D111" i="7" s="1"/>
  <c r="B112" i="7" a="1"/>
  <c r="B112" i="7" s="1"/>
  <c r="C112" i="7" s="1"/>
  <c r="D112" i="7" s="1"/>
  <c r="B113" i="7" a="1"/>
  <c r="B113" i="7" s="1"/>
  <c r="C113" i="7" s="1"/>
  <c r="D113" i="7" s="1"/>
  <c r="B114" i="7" a="1"/>
  <c r="B114" i="7" s="1"/>
  <c r="C114" i="7" s="1"/>
  <c r="D114" i="7" s="1"/>
  <c r="B115" i="7" a="1"/>
  <c r="B115" i="7" s="1"/>
  <c r="C115" i="7" s="1"/>
  <c r="D115" i="7" s="1"/>
  <c r="B116" i="7" a="1"/>
  <c r="B116" i="7" s="1"/>
  <c r="C116" i="7" s="1"/>
  <c r="D116" i="7" s="1"/>
  <c r="B117" i="7" a="1"/>
  <c r="B117" i="7" s="1"/>
  <c r="C117" i="7" s="1"/>
  <c r="D117" i="7" s="1"/>
  <c r="B118" i="7" a="1"/>
  <c r="B118" i="7" s="1"/>
  <c r="C118" i="7" s="1"/>
  <c r="D118" i="7" s="1"/>
  <c r="B119" i="7" a="1"/>
  <c r="B119" i="7" s="1"/>
  <c r="C119" i="7" s="1"/>
  <c r="D119" i="7" s="1"/>
  <c r="B120" i="7" a="1"/>
  <c r="B120" i="7" s="1"/>
  <c r="C120" i="7" s="1"/>
  <c r="D120" i="7" s="1"/>
  <c r="B121" i="7" a="1"/>
  <c r="B121" i="7" s="1"/>
  <c r="C121" i="7" s="1"/>
  <c r="D121" i="7" s="1"/>
  <c r="B122" i="7" a="1"/>
  <c r="B122" i="7" s="1"/>
  <c r="C122" i="7" s="1"/>
  <c r="D122" i="7" s="1"/>
  <c r="B123" i="7" a="1"/>
  <c r="B123" i="7" s="1"/>
  <c r="C123" i="7" s="1"/>
  <c r="D123" i="7" s="1"/>
  <c r="B124" i="7" a="1"/>
  <c r="B124" i="7" s="1"/>
  <c r="C124" i="7" s="1"/>
  <c r="D124" i="7" s="1"/>
  <c r="B125" i="7" a="1"/>
  <c r="B125" i="7" s="1"/>
  <c r="C125" i="7" s="1"/>
  <c r="D125" i="7" s="1"/>
  <c r="B126" i="7" a="1"/>
  <c r="B126" i="7" s="1"/>
  <c r="C126" i="7" s="1"/>
  <c r="D126" i="7" s="1"/>
  <c r="B127" i="7" a="1"/>
  <c r="B127" i="7" s="1"/>
  <c r="C127" i="7" s="1"/>
  <c r="D127" i="7" s="1"/>
  <c r="B128" i="7" a="1"/>
  <c r="B128" i="7" s="1"/>
  <c r="C128" i="7" s="1"/>
  <c r="D128" i="7" s="1"/>
  <c r="B129" i="7" a="1"/>
  <c r="B129" i="7" s="1"/>
  <c r="C129" i="7" s="1"/>
  <c r="D129" i="7" s="1"/>
  <c r="B130" i="7" a="1"/>
  <c r="B130" i="7" s="1"/>
  <c r="C130" i="7" s="1"/>
  <c r="D130" i="7" s="1"/>
  <c r="B131" i="7" a="1"/>
  <c r="B131" i="7" s="1"/>
  <c r="C131" i="7" s="1"/>
  <c r="D131" i="7" s="1"/>
  <c r="B132" i="7" a="1"/>
  <c r="B132" i="7" s="1"/>
  <c r="C132" i="7" s="1"/>
  <c r="D132" i="7" s="1"/>
  <c r="B133" i="7" a="1"/>
  <c r="B133" i="7" s="1"/>
  <c r="C133" i="7" s="1"/>
  <c r="D133" i="7" s="1"/>
  <c r="B134" i="7" a="1"/>
  <c r="B134" i="7" s="1"/>
  <c r="C134" i="7" s="1"/>
  <c r="D134" i="7" s="1"/>
  <c r="B135" i="7" a="1"/>
  <c r="B135" i="7" s="1"/>
  <c r="C135" i="7" s="1"/>
  <c r="D135" i="7" s="1"/>
  <c r="B136" i="7" a="1"/>
  <c r="B136" i="7" s="1"/>
  <c r="C136" i="7" s="1"/>
  <c r="D136" i="7" s="1"/>
  <c r="B137" i="7" a="1"/>
  <c r="B137" i="7" s="1"/>
  <c r="C137" i="7" s="1"/>
  <c r="D137" i="7" s="1"/>
  <c r="B138" i="7" a="1"/>
  <c r="B138" i="7" s="1"/>
  <c r="C138" i="7" s="1"/>
  <c r="D138" i="7" s="1"/>
  <c r="B139" i="7" a="1"/>
  <c r="B139" i="7" s="1"/>
  <c r="C139" i="7" s="1"/>
  <c r="D139" i="7" s="1"/>
  <c r="B140" i="7" a="1"/>
  <c r="B140" i="7" s="1"/>
  <c r="C140" i="7" s="1"/>
  <c r="D140" i="7" s="1"/>
  <c r="B141" i="7" a="1"/>
  <c r="B141" i="7" s="1"/>
  <c r="C141" i="7" s="1"/>
  <c r="D141" i="7" s="1"/>
  <c r="B142" i="7" a="1"/>
  <c r="B142" i="7" s="1"/>
  <c r="C142" i="7" s="1"/>
  <c r="D142" i="7" s="1"/>
  <c r="B143" i="7" a="1"/>
  <c r="B143" i="7" s="1"/>
  <c r="C143" i="7" s="1"/>
  <c r="D143" i="7" s="1"/>
  <c r="B144" i="7" a="1"/>
  <c r="B144" i="7" s="1"/>
  <c r="C144" i="7" s="1"/>
  <c r="D144" i="7" s="1"/>
  <c r="B145" i="7" a="1"/>
  <c r="B145" i="7" s="1"/>
  <c r="C145" i="7" s="1"/>
  <c r="D145" i="7" s="1"/>
  <c r="B146" i="7" a="1"/>
  <c r="B146" i="7" s="1"/>
  <c r="C146" i="7" s="1"/>
  <c r="D146" i="7" s="1"/>
  <c r="B147" i="7" a="1"/>
  <c r="B147" i="7" s="1"/>
  <c r="C147" i="7" s="1"/>
  <c r="D147" i="7" s="1"/>
  <c r="B148" i="7" a="1"/>
  <c r="B148" i="7" s="1"/>
  <c r="C148" i="7" s="1"/>
  <c r="D148" i="7" s="1"/>
  <c r="B149" i="7" a="1"/>
  <c r="B149" i="7" s="1"/>
  <c r="C149" i="7" s="1"/>
  <c r="D149" i="7" s="1"/>
  <c r="B150" i="7" a="1"/>
  <c r="B150" i="7" s="1"/>
  <c r="C150" i="7" s="1"/>
  <c r="D150" i="7" s="1"/>
  <c r="B151" i="7" a="1"/>
  <c r="B151" i="7" s="1"/>
  <c r="C151" i="7" s="1"/>
  <c r="D151" i="7" s="1"/>
  <c r="B152" i="7" a="1"/>
  <c r="B152" i="7" s="1"/>
  <c r="C152" i="7" s="1"/>
  <c r="D152" i="7" s="1"/>
  <c r="B153" i="7" a="1"/>
  <c r="B153" i="7" s="1"/>
  <c r="C153" i="7" s="1"/>
  <c r="D153" i="7" s="1"/>
  <c r="B154" i="7" a="1"/>
  <c r="B154" i="7" s="1"/>
  <c r="C154" i="7" s="1"/>
  <c r="D154" i="7" s="1"/>
  <c r="B155" i="7" a="1"/>
  <c r="B155" i="7" s="1"/>
  <c r="C155" i="7" s="1"/>
  <c r="D155" i="7" s="1"/>
  <c r="B156" i="7" a="1"/>
  <c r="B156" i="7" s="1"/>
  <c r="C156" i="7" s="1"/>
  <c r="D156" i="7" s="1"/>
  <c r="B157" i="7" a="1"/>
  <c r="B157" i="7" s="1"/>
  <c r="C157" i="7" s="1"/>
  <c r="D157" i="7" s="1"/>
  <c r="B158" i="7" a="1"/>
  <c r="B158" i="7" s="1"/>
  <c r="C158" i="7" s="1"/>
  <c r="D158" i="7" s="1"/>
  <c r="B159" i="7" a="1"/>
  <c r="B159" i="7" s="1"/>
  <c r="C159" i="7" s="1"/>
  <c r="D159" i="7" s="1"/>
  <c r="B160" i="7" a="1"/>
  <c r="B160" i="7" s="1"/>
  <c r="C160" i="7" s="1"/>
  <c r="D160" i="7" s="1"/>
  <c r="B161" i="7" a="1"/>
  <c r="B161" i="7" s="1"/>
  <c r="C161" i="7" s="1"/>
  <c r="D161" i="7" s="1"/>
  <c r="B162" i="7" a="1"/>
  <c r="B162" i="7" s="1"/>
  <c r="C162" i="7" s="1"/>
  <c r="D162" i="7" s="1"/>
  <c r="B163" i="7" a="1"/>
  <c r="B163" i="7" s="1"/>
  <c r="C163" i="7" s="1"/>
  <c r="D163" i="7" s="1"/>
  <c r="B164" i="7" a="1"/>
  <c r="B164" i="7" s="1"/>
  <c r="C164" i="7" s="1"/>
  <c r="D164" i="7" s="1"/>
  <c r="B165" i="7" a="1"/>
  <c r="B165" i="7" s="1"/>
  <c r="C165" i="7" s="1"/>
  <c r="D165" i="7" s="1"/>
  <c r="B166" i="7" a="1"/>
  <c r="B166" i="7" s="1"/>
  <c r="C166" i="7" s="1"/>
  <c r="D166" i="7" s="1"/>
  <c r="B167" i="7" a="1"/>
  <c r="B167" i="7" s="1"/>
  <c r="C167" i="7" s="1"/>
  <c r="D167" i="7" s="1"/>
  <c r="B168" i="7" a="1"/>
  <c r="B168" i="7" s="1"/>
  <c r="C168" i="7" s="1"/>
  <c r="D168" i="7" s="1"/>
  <c r="B169" i="7" a="1"/>
  <c r="B169" i="7" s="1"/>
  <c r="C169" i="7" s="1"/>
  <c r="D169" i="7" s="1"/>
  <c r="B170" i="7" a="1"/>
  <c r="B170" i="7" s="1"/>
  <c r="C170" i="7" s="1"/>
  <c r="D170" i="7" s="1"/>
  <c r="B171" i="7" a="1"/>
  <c r="B171" i="7" s="1"/>
  <c r="C171" i="7" s="1"/>
  <c r="D171" i="7" s="1"/>
  <c r="B172" i="7" a="1"/>
  <c r="B172" i="7" s="1"/>
  <c r="C172" i="7" s="1"/>
  <c r="D172" i="7" s="1"/>
  <c r="B173" i="7" a="1"/>
  <c r="B173" i="7" s="1"/>
  <c r="C173" i="7" s="1"/>
  <c r="D173" i="7" s="1"/>
  <c r="B174" i="7" a="1"/>
  <c r="B174" i="7" s="1"/>
  <c r="C174" i="7" s="1"/>
  <c r="D174" i="7" s="1"/>
  <c r="B175" i="7" a="1"/>
  <c r="B175" i="7" s="1"/>
  <c r="C175" i="7" s="1"/>
  <c r="D175" i="7" s="1"/>
  <c r="B176" i="7" a="1"/>
  <c r="B176" i="7" s="1"/>
  <c r="C176" i="7" s="1"/>
  <c r="D176" i="7" s="1"/>
  <c r="B177" i="7" a="1"/>
  <c r="B177" i="7" s="1"/>
  <c r="C177" i="7" s="1"/>
  <c r="D177" i="7" s="1"/>
  <c r="B178" i="7" a="1"/>
  <c r="B178" i="7" s="1"/>
  <c r="C178" i="7" s="1"/>
  <c r="D178" i="7" s="1"/>
  <c r="B179" i="7" a="1"/>
  <c r="B179" i="7" s="1"/>
  <c r="C179" i="7" s="1"/>
  <c r="D179" i="7" s="1"/>
  <c r="B180" i="7" a="1"/>
  <c r="B180" i="7" s="1"/>
  <c r="C180" i="7" s="1"/>
  <c r="D180" i="7" s="1"/>
  <c r="B181" i="7" a="1"/>
  <c r="B181" i="7" s="1"/>
  <c r="C181" i="7" s="1"/>
  <c r="D181" i="7" s="1"/>
  <c r="B182" i="7" a="1"/>
  <c r="B182" i="7" s="1"/>
  <c r="C182" i="7" s="1"/>
  <c r="D182" i="7" s="1"/>
  <c r="B183" i="7" a="1"/>
  <c r="B183" i="7" s="1"/>
  <c r="C183" i="7" s="1"/>
  <c r="D183" i="7" s="1"/>
  <c r="B184" i="7" a="1"/>
  <c r="B184" i="7" s="1"/>
  <c r="C184" i="7" s="1"/>
  <c r="D184" i="7" s="1"/>
  <c r="B185" i="7" a="1"/>
  <c r="B185" i="7" s="1"/>
  <c r="C185" i="7" s="1"/>
  <c r="D185" i="7" s="1"/>
  <c r="B186" i="7" a="1"/>
  <c r="B186" i="7" s="1"/>
  <c r="C186" i="7" s="1"/>
  <c r="D186" i="7" s="1"/>
  <c r="B187" i="7" a="1"/>
  <c r="B187" i="7" s="1"/>
  <c r="C187" i="7" s="1"/>
  <c r="D187" i="7" s="1"/>
  <c r="B188" i="7" a="1"/>
  <c r="B188" i="7" s="1"/>
  <c r="C188" i="7" s="1"/>
  <c r="D188" i="7" s="1"/>
  <c r="B189" i="7" a="1"/>
  <c r="B189" i="7" s="1"/>
  <c r="C189" i="7" s="1"/>
  <c r="D189" i="7" s="1"/>
  <c r="B190" i="7" a="1"/>
  <c r="B190" i="7" s="1"/>
  <c r="C190" i="7" s="1"/>
  <c r="D190" i="7" s="1"/>
  <c r="B191" i="7" a="1"/>
  <c r="B191" i="7" s="1"/>
  <c r="C191" i="7" s="1"/>
  <c r="D191" i="7" s="1"/>
  <c r="B192" i="7" a="1"/>
  <c r="B192" i="7" s="1"/>
  <c r="C192" i="7" s="1"/>
  <c r="D192" i="7" s="1"/>
  <c r="B193" i="7" a="1"/>
  <c r="B193" i="7" s="1"/>
  <c r="C193" i="7" s="1"/>
  <c r="D193" i="7" s="1"/>
  <c r="B194" i="7" a="1"/>
  <c r="B194" i="7" s="1"/>
  <c r="C194" i="7" s="1"/>
  <c r="D194" i="7" s="1"/>
  <c r="B195" i="7" a="1"/>
  <c r="B195" i="7" s="1"/>
  <c r="C195" i="7" s="1"/>
  <c r="D195" i="7" s="1"/>
  <c r="B196" i="7" a="1"/>
  <c r="B196" i="7" s="1"/>
  <c r="C196" i="7" s="1"/>
  <c r="D196" i="7" s="1"/>
  <c r="B197" i="7" a="1"/>
  <c r="B197" i="7" s="1"/>
  <c r="C197" i="7" s="1"/>
  <c r="D197" i="7" s="1"/>
  <c r="B198" i="7" a="1"/>
  <c r="B198" i="7" s="1"/>
  <c r="C198" i="7" s="1"/>
  <c r="D198" i="7" s="1"/>
  <c r="B199" i="7" a="1"/>
  <c r="B199" i="7" s="1"/>
  <c r="C199" i="7" s="1"/>
  <c r="D199" i="7" s="1"/>
  <c r="B200" i="7" a="1"/>
  <c r="B200" i="7" s="1"/>
  <c r="C200" i="7" s="1"/>
  <c r="D200" i="7" s="1"/>
  <c r="B201" i="7" a="1"/>
  <c r="B201" i="7" s="1"/>
  <c r="C201" i="7" s="1"/>
  <c r="D201" i="7" s="1"/>
  <c r="B202" i="7" a="1"/>
  <c r="B202" i="7" s="1"/>
  <c r="C202" i="7" s="1"/>
  <c r="D202" i="7" s="1"/>
  <c r="B203" i="7" a="1"/>
  <c r="B203" i="7" s="1"/>
  <c r="C203" i="7" s="1"/>
  <c r="D203" i="7" s="1"/>
  <c r="B204" i="7" a="1"/>
  <c r="B204" i="7" s="1"/>
  <c r="C204" i="7" s="1"/>
  <c r="D204" i="7" s="1"/>
  <c r="B205" i="7" a="1"/>
  <c r="B205" i="7" s="1"/>
  <c r="C205" i="7" s="1"/>
  <c r="D205" i="7" s="1"/>
  <c r="B206" i="7" a="1"/>
  <c r="B206" i="7" s="1"/>
  <c r="C206" i="7" s="1"/>
  <c r="D206" i="7" s="1"/>
  <c r="B207" i="7" a="1"/>
  <c r="B207" i="7" s="1"/>
  <c r="C207" i="7" s="1"/>
  <c r="D207" i="7" s="1"/>
  <c r="B208" i="7" a="1"/>
  <c r="B208" i="7" s="1"/>
  <c r="C208" i="7" s="1"/>
  <c r="D208" i="7" s="1"/>
  <c r="B209" i="7" a="1"/>
  <c r="B209" i="7" s="1"/>
  <c r="C209" i="7" s="1"/>
  <c r="D209" i="7" s="1"/>
  <c r="B210" i="7" a="1"/>
  <c r="B210" i="7" s="1"/>
  <c r="C210" i="7" s="1"/>
  <c r="D210" i="7" s="1"/>
  <c r="B211" i="7" a="1"/>
  <c r="B211" i="7" s="1"/>
  <c r="C211" i="7" s="1"/>
  <c r="D211" i="7" s="1"/>
  <c r="B212" i="7" a="1"/>
  <c r="B212" i="7" s="1"/>
  <c r="C212" i="7" s="1"/>
  <c r="D212" i="7" s="1"/>
  <c r="B213" i="7" a="1"/>
  <c r="B213" i="7" s="1"/>
  <c r="C213" i="7" s="1"/>
  <c r="D213" i="7" s="1"/>
  <c r="B214" i="7" a="1"/>
  <c r="B214" i="7" s="1"/>
  <c r="C214" i="7" s="1"/>
  <c r="D214" i="7" s="1"/>
  <c r="B215" i="7" a="1"/>
  <c r="B215" i="7" s="1"/>
  <c r="C215" i="7" s="1"/>
  <c r="D215" i="7" s="1"/>
  <c r="B216" i="7" a="1"/>
  <c r="B216" i="7" s="1"/>
  <c r="C216" i="7" s="1"/>
  <c r="D216" i="7" s="1"/>
  <c r="B217" i="7" a="1"/>
  <c r="B217" i="7" s="1"/>
  <c r="C217" i="7" s="1"/>
  <c r="D217" i="7" s="1"/>
  <c r="B218" i="7" a="1"/>
  <c r="B218" i="7" s="1"/>
  <c r="C218" i="7" s="1"/>
  <c r="D218" i="7" s="1"/>
  <c r="B219" i="7" a="1"/>
  <c r="B219" i="7" s="1"/>
  <c r="C219" i="7" s="1"/>
  <c r="D219" i="7" s="1"/>
  <c r="B220" i="7" a="1"/>
  <c r="B220" i="7" s="1"/>
  <c r="C220" i="7" s="1"/>
  <c r="D220" i="7" s="1"/>
  <c r="B221" i="7" a="1"/>
  <c r="B221" i="7" s="1"/>
  <c r="C221" i="7" s="1"/>
  <c r="D221" i="7" s="1"/>
  <c r="B222" i="7" a="1"/>
  <c r="B222" i="7" s="1"/>
  <c r="C222" i="7" s="1"/>
  <c r="D222" i="7" s="1"/>
  <c r="B223" i="7" a="1"/>
  <c r="B223" i="7" s="1"/>
  <c r="C223" i="7" s="1"/>
  <c r="D223" i="7" s="1"/>
  <c r="B224" i="7" a="1"/>
  <c r="B224" i="7" s="1"/>
  <c r="C224" i="7" s="1"/>
  <c r="D224" i="7" s="1"/>
  <c r="B225" i="7" a="1"/>
  <c r="B225" i="7" s="1"/>
  <c r="C225" i="7" s="1"/>
  <c r="D225" i="7" s="1"/>
  <c r="B226" i="7" a="1"/>
  <c r="B226" i="7" s="1"/>
  <c r="C226" i="7" s="1"/>
  <c r="D226" i="7" s="1"/>
  <c r="B227" i="7" a="1"/>
  <c r="B227" i="7" s="1"/>
  <c r="C227" i="7" s="1"/>
  <c r="D227" i="7" s="1"/>
  <c r="B228" i="7" a="1"/>
  <c r="B228" i="7" s="1"/>
  <c r="C228" i="7" s="1"/>
  <c r="D228" i="7" s="1"/>
  <c r="B229" i="7" a="1"/>
  <c r="B229" i="7" s="1"/>
  <c r="C229" i="7" s="1"/>
  <c r="D229" i="7" s="1"/>
  <c r="B230" i="7" a="1"/>
  <c r="B230" i="7" s="1"/>
  <c r="C230" i="7" s="1"/>
  <c r="D230" i="7" s="1"/>
  <c r="B231" i="7" a="1"/>
  <c r="B231" i="7" s="1"/>
  <c r="C231" i="7" s="1"/>
  <c r="D231" i="7" s="1"/>
  <c r="B232" i="7" a="1"/>
  <c r="B232" i="7" s="1"/>
  <c r="C232" i="7" s="1"/>
  <c r="D232" i="7" s="1"/>
  <c r="B233" i="7" a="1"/>
  <c r="B233" i="7" s="1"/>
  <c r="C233" i="7" s="1"/>
  <c r="D233" i="7" s="1"/>
  <c r="B234" i="7" a="1"/>
  <c r="B234" i="7" s="1"/>
  <c r="C234" i="7" s="1"/>
  <c r="D234" i="7" s="1"/>
  <c r="B235" i="7" a="1"/>
  <c r="B235" i="7" s="1"/>
  <c r="C235" i="7" s="1"/>
  <c r="D235" i="7" s="1"/>
  <c r="B236" i="7" a="1"/>
  <c r="B236" i="7" s="1"/>
  <c r="C236" i="7" s="1"/>
  <c r="D236" i="7" s="1"/>
  <c r="B237" i="7" a="1"/>
  <c r="B237" i="7" s="1"/>
  <c r="C237" i="7" s="1"/>
  <c r="D237" i="7" s="1"/>
  <c r="B238" i="7" a="1"/>
  <c r="B238" i="7" s="1"/>
  <c r="C238" i="7" s="1"/>
  <c r="D238" i="7" s="1"/>
  <c r="B239" i="7" a="1"/>
  <c r="B239" i="7" s="1"/>
  <c r="C239" i="7" s="1"/>
  <c r="D239" i="7" s="1"/>
  <c r="B240" i="7" a="1"/>
  <c r="B240" i="7" s="1"/>
  <c r="C240" i="7" s="1"/>
  <c r="D240" i="7" s="1"/>
  <c r="B241" i="7" a="1"/>
  <c r="B241" i="7" s="1"/>
  <c r="C241" i="7" s="1"/>
  <c r="D241" i="7" s="1"/>
  <c r="B242" i="7" a="1"/>
  <c r="B242" i="7" s="1"/>
  <c r="C242" i="7" s="1"/>
  <c r="D242" i="7" s="1"/>
  <c r="B243" i="7" a="1"/>
  <c r="B243" i="7" s="1"/>
  <c r="C243" i="7" s="1"/>
  <c r="D243" i="7" s="1"/>
  <c r="B244" i="7" a="1"/>
  <c r="B244" i="7" s="1"/>
  <c r="C244" i="7" s="1"/>
  <c r="D244" i="7" s="1"/>
  <c r="B245" i="7" a="1"/>
  <c r="B245" i="7" s="1"/>
  <c r="C245" i="7" s="1"/>
  <c r="D245" i="7" s="1"/>
  <c r="B246" i="7" a="1"/>
  <c r="B246" i="7" s="1"/>
  <c r="C246" i="7" s="1"/>
  <c r="D246" i="7" s="1"/>
  <c r="B247" i="7" a="1"/>
  <c r="B247" i="7" s="1"/>
  <c r="C247" i="7" s="1"/>
  <c r="D247" i="7" s="1"/>
  <c r="B248" i="7" a="1"/>
  <c r="B248" i="7" s="1"/>
  <c r="C248" i="7" s="1"/>
  <c r="D248" i="7" s="1"/>
  <c r="B249" i="7" a="1"/>
  <c r="B249" i="7" s="1"/>
  <c r="C249" i="7" s="1"/>
  <c r="D249" i="7" s="1"/>
  <c r="B250" i="7" a="1"/>
  <c r="B250" i="7" s="1"/>
  <c r="C250" i="7" s="1"/>
  <c r="D250" i="7" s="1"/>
  <c r="B251" i="7" a="1"/>
  <c r="B251" i="7" s="1"/>
  <c r="C251" i="7" s="1"/>
  <c r="D251" i="7" s="1"/>
  <c r="B252" i="7" a="1"/>
  <c r="B252" i="7" s="1"/>
  <c r="C252" i="7" s="1"/>
  <c r="D252" i="7" s="1"/>
  <c r="B253" i="7" a="1"/>
  <c r="B253" i="7" s="1"/>
  <c r="C253" i="7" s="1"/>
  <c r="D253" i="7" s="1"/>
  <c r="B254" i="7" a="1"/>
  <c r="B254" i="7" s="1"/>
  <c r="C254" i="7" s="1"/>
  <c r="D254" i="7" s="1"/>
  <c r="B255" i="7" a="1"/>
  <c r="B255" i="7" s="1"/>
  <c r="C255" i="7" s="1"/>
  <c r="D255" i="7" s="1"/>
  <c r="B256" i="7" a="1"/>
  <c r="B256" i="7" s="1"/>
  <c r="C256" i="7" s="1"/>
  <c r="D256" i="7" s="1"/>
  <c r="B257" i="7" a="1"/>
  <c r="B257" i="7" s="1"/>
  <c r="C257" i="7" s="1"/>
  <c r="D257" i="7" s="1"/>
  <c r="B258" i="7" a="1"/>
  <c r="B258" i="7" s="1"/>
  <c r="C258" i="7" s="1"/>
  <c r="D258" i="7" s="1"/>
  <c r="B259" i="7" a="1"/>
  <c r="B259" i="7" s="1"/>
  <c r="C259" i="7" s="1"/>
  <c r="D259" i="7" s="1"/>
  <c r="B260" i="7" a="1"/>
  <c r="B260" i="7" s="1"/>
  <c r="C260" i="7" s="1"/>
  <c r="D260" i="7" s="1"/>
  <c r="B261" i="7" a="1"/>
  <c r="B261" i="7" s="1"/>
  <c r="C261" i="7" s="1"/>
  <c r="D261" i="7" s="1"/>
  <c r="B262" i="7" a="1"/>
  <c r="B262" i="7" s="1"/>
  <c r="C262" i="7" s="1"/>
  <c r="D262" i="7" s="1"/>
  <c r="B263" i="7" a="1"/>
  <c r="B263" i="7" s="1"/>
  <c r="C263" i="7" s="1"/>
  <c r="D263" i="7" s="1"/>
  <c r="B264" i="7" a="1"/>
  <c r="B264" i="7" s="1"/>
  <c r="C264" i="7" s="1"/>
  <c r="D264" i="7" s="1"/>
  <c r="B265" i="7" a="1"/>
  <c r="B265" i="7" s="1"/>
  <c r="C265" i="7" s="1"/>
  <c r="D265" i="7" s="1"/>
  <c r="B266" i="7" a="1"/>
  <c r="B266" i="7" s="1"/>
  <c r="C266" i="7" s="1"/>
  <c r="D266" i="7" s="1"/>
  <c r="B267" i="7" a="1"/>
  <c r="B267" i="7" s="1"/>
  <c r="C267" i="7" s="1"/>
  <c r="D267" i="7" s="1"/>
  <c r="B268" i="7" a="1"/>
  <c r="B268" i="7" s="1"/>
  <c r="C268" i="7" s="1"/>
  <c r="D268" i="7" s="1"/>
  <c r="B269" i="7" a="1"/>
  <c r="B269" i="7" s="1"/>
  <c r="C269" i="7" s="1"/>
  <c r="D269" i="7" s="1"/>
  <c r="B270" i="7" a="1"/>
  <c r="B270" i="7" s="1"/>
  <c r="C270" i="7" s="1"/>
  <c r="D270" i="7" s="1"/>
  <c r="B271" i="7" a="1"/>
  <c r="B271" i="7" s="1"/>
  <c r="C271" i="7" s="1"/>
  <c r="D271" i="7" s="1"/>
  <c r="B272" i="7" a="1"/>
  <c r="B272" i="7" s="1"/>
  <c r="C272" i="7" s="1"/>
  <c r="D272" i="7" s="1"/>
  <c r="B273" i="7" a="1"/>
  <c r="B273" i="7" s="1"/>
  <c r="C273" i="7" s="1"/>
  <c r="D273" i="7" s="1"/>
  <c r="B274" i="7" a="1"/>
  <c r="B274" i="7" s="1"/>
  <c r="C274" i="7" s="1"/>
  <c r="D274" i="7" s="1"/>
  <c r="B275" i="7" a="1"/>
  <c r="B275" i="7" s="1"/>
  <c r="C275" i="7" s="1"/>
  <c r="D275" i="7" s="1"/>
  <c r="B276" i="7" a="1"/>
  <c r="B276" i="7" s="1"/>
  <c r="C276" i="7" s="1"/>
  <c r="D276" i="7" s="1"/>
  <c r="B277" i="7" a="1"/>
  <c r="B277" i="7" s="1"/>
  <c r="C277" i="7" s="1"/>
  <c r="D277" i="7" s="1"/>
  <c r="B278" i="7" a="1"/>
  <c r="B278" i="7" s="1"/>
  <c r="C278" i="7" s="1"/>
  <c r="D278" i="7" s="1"/>
  <c r="B279" i="7" a="1"/>
  <c r="B279" i="7" s="1"/>
  <c r="C279" i="7" s="1"/>
  <c r="D279" i="7" s="1"/>
  <c r="B280" i="7" a="1"/>
  <c r="B280" i="7" s="1"/>
  <c r="C280" i="7" s="1"/>
  <c r="D280" i="7" s="1"/>
  <c r="B281" i="7" a="1"/>
  <c r="B281" i="7" s="1"/>
  <c r="C281" i="7" s="1"/>
  <c r="D281" i="7" s="1"/>
  <c r="B282" i="7" a="1"/>
  <c r="B282" i="7" s="1"/>
  <c r="C282" i="7" s="1"/>
  <c r="D282" i="7" s="1"/>
  <c r="B283" i="7" a="1"/>
  <c r="B283" i="7" s="1"/>
  <c r="C283" i="7" s="1"/>
  <c r="D283" i="7" s="1"/>
  <c r="B284" i="7" a="1"/>
  <c r="B284" i="7" s="1"/>
  <c r="C284" i="7" s="1"/>
  <c r="D284" i="7" s="1"/>
  <c r="B285" i="7" a="1"/>
  <c r="B285" i="7" s="1"/>
  <c r="C285" i="7" s="1"/>
  <c r="D285" i="7" s="1"/>
  <c r="B286" i="7" a="1"/>
  <c r="B286" i="7" s="1"/>
  <c r="C286" i="7" s="1"/>
  <c r="D286" i="7" s="1"/>
  <c r="B287" i="7" a="1"/>
  <c r="B287" i="7" s="1"/>
  <c r="C287" i="7" s="1"/>
  <c r="D287" i="7" s="1"/>
  <c r="B288" i="7" a="1"/>
  <c r="B288" i="7" s="1"/>
  <c r="C288" i="7" s="1"/>
  <c r="D288" i="7" s="1"/>
  <c r="B289" i="7" a="1"/>
  <c r="B289" i="7" s="1"/>
  <c r="C289" i="7" s="1"/>
  <c r="D289" i="7" s="1"/>
  <c r="B290" i="7" a="1"/>
  <c r="B290" i="7" s="1"/>
  <c r="C290" i="7" s="1"/>
  <c r="D290" i="7" s="1"/>
  <c r="B291" i="7" a="1"/>
  <c r="B291" i="7" s="1"/>
  <c r="C291" i="7" s="1"/>
  <c r="D291" i="7" s="1"/>
  <c r="B292" i="7" a="1"/>
  <c r="B292" i="7" s="1"/>
  <c r="C292" i="7" s="1"/>
  <c r="D292" i="7" s="1"/>
  <c r="B293" i="7" a="1"/>
  <c r="B293" i="7" s="1"/>
  <c r="C293" i="7" s="1"/>
  <c r="D293" i="7" s="1"/>
  <c r="B294" i="7" a="1"/>
  <c r="B294" i="7" s="1"/>
  <c r="C294" i="7" s="1"/>
  <c r="D294" i="7" s="1"/>
  <c r="B295" i="7" a="1"/>
  <c r="B295" i="7" s="1"/>
  <c r="C295" i="7" s="1"/>
  <c r="D295" i="7" s="1"/>
  <c r="B296" i="7" a="1"/>
  <c r="B296" i="7" s="1"/>
  <c r="C296" i="7" s="1"/>
  <c r="D296" i="7" s="1"/>
  <c r="B297" i="7" a="1"/>
  <c r="B297" i="7" s="1"/>
  <c r="C297" i="7" s="1"/>
  <c r="D297" i="7" s="1"/>
  <c r="B298" i="7" a="1"/>
  <c r="B298" i="7" s="1"/>
  <c r="C298" i="7" s="1"/>
  <c r="D298" i="7" s="1"/>
  <c r="B299" i="7" a="1"/>
  <c r="B299" i="7" s="1"/>
  <c r="C299" i="7" s="1"/>
  <c r="D299" i="7" s="1"/>
  <c r="B300" i="7" a="1"/>
  <c r="B300" i="7" s="1"/>
  <c r="C300" i="7" s="1"/>
  <c r="D300" i="7" s="1"/>
  <c r="B301" i="7" a="1"/>
  <c r="B301" i="7" s="1"/>
  <c r="C301" i="7" s="1"/>
  <c r="D301" i="7" s="1"/>
  <c r="B302" i="7" a="1"/>
  <c r="B302" i="7" s="1"/>
  <c r="C302" i="7" s="1"/>
  <c r="D302" i="7" s="1"/>
  <c r="B303" i="7" a="1"/>
  <c r="B303" i="7" s="1"/>
  <c r="C303" i="7" s="1"/>
  <c r="D303" i="7" s="1"/>
  <c r="B304" i="7" a="1"/>
  <c r="B304" i="7" s="1"/>
  <c r="C304" i="7" s="1"/>
  <c r="D304" i="7" s="1"/>
  <c r="B305" i="7" a="1"/>
  <c r="B305" i="7" s="1"/>
  <c r="C305" i="7" s="1"/>
  <c r="D305" i="7" s="1"/>
  <c r="B306" i="7" a="1"/>
  <c r="B306" i="7" s="1"/>
  <c r="C306" i="7" s="1"/>
  <c r="D306" i="7" s="1"/>
  <c r="B307" i="7" a="1"/>
  <c r="B307" i="7" s="1"/>
  <c r="C307" i="7" s="1"/>
  <c r="D307" i="7" s="1"/>
  <c r="B308" i="7" a="1"/>
  <c r="B308" i="7" s="1"/>
  <c r="C308" i="7" s="1"/>
  <c r="D308" i="7" s="1"/>
  <c r="B309" i="7" a="1"/>
  <c r="B309" i="7" s="1"/>
  <c r="C309" i="7" s="1"/>
  <c r="D309" i="7" s="1"/>
  <c r="B310" i="7" a="1"/>
  <c r="B310" i="7" s="1"/>
  <c r="C310" i="7" s="1"/>
  <c r="D310" i="7" s="1"/>
  <c r="B311" i="7" a="1"/>
  <c r="B311" i="7" s="1"/>
  <c r="C311" i="7" s="1"/>
  <c r="D311" i="7" s="1"/>
  <c r="B312" i="7" a="1"/>
  <c r="B312" i="7" s="1"/>
  <c r="C312" i="7" s="1"/>
  <c r="D312" i="7" s="1"/>
  <c r="B313" i="7" a="1"/>
  <c r="B313" i="7" s="1"/>
  <c r="C313" i="7" s="1"/>
  <c r="D313" i="7" s="1"/>
  <c r="B314" i="7" a="1"/>
  <c r="B314" i="7" s="1"/>
  <c r="C314" i="7" s="1"/>
  <c r="D314" i="7" s="1"/>
  <c r="B315" i="7" a="1"/>
  <c r="B315" i="7" s="1"/>
  <c r="C315" i="7" s="1"/>
  <c r="D315" i="7" s="1"/>
  <c r="B316" i="7" a="1"/>
  <c r="B316" i="7" s="1"/>
  <c r="C316" i="7" s="1"/>
  <c r="D316" i="7" s="1"/>
  <c r="B317" i="7" a="1"/>
  <c r="B317" i="7" s="1"/>
  <c r="C317" i="7" s="1"/>
  <c r="D317" i="7" s="1"/>
  <c r="B318" i="7" a="1"/>
  <c r="B318" i="7" s="1"/>
  <c r="C318" i="7" s="1"/>
  <c r="D318" i="7" s="1"/>
  <c r="B319" i="7" a="1"/>
  <c r="B319" i="7" s="1"/>
  <c r="C319" i="7" s="1"/>
  <c r="D319" i="7" s="1"/>
  <c r="B320" i="7" a="1"/>
  <c r="B320" i="7" s="1"/>
  <c r="C320" i="7" s="1"/>
  <c r="D320" i="7" s="1"/>
  <c r="B321" i="7" a="1"/>
  <c r="B321" i="7" s="1"/>
  <c r="C321" i="7" s="1"/>
  <c r="D321" i="7" s="1"/>
  <c r="B322" i="7" a="1"/>
  <c r="B322" i="7" s="1"/>
  <c r="C322" i="7" s="1"/>
  <c r="D322" i="7" s="1"/>
  <c r="B323" i="7" a="1"/>
  <c r="B323" i="7" s="1"/>
  <c r="C323" i="7" s="1"/>
  <c r="D323" i="7" s="1"/>
  <c r="B324" i="7" a="1"/>
  <c r="B324" i="7" s="1"/>
  <c r="C324" i="7" s="1"/>
  <c r="D324" i="7" s="1"/>
  <c r="B325" i="7" a="1"/>
  <c r="B325" i="7" s="1"/>
  <c r="C325" i="7" s="1"/>
  <c r="D325" i="7" s="1"/>
  <c r="B326" i="7" a="1"/>
  <c r="B326" i="7" s="1"/>
  <c r="C326" i="7" s="1"/>
  <c r="D326" i="7" s="1"/>
  <c r="B327" i="7" a="1"/>
  <c r="B327" i="7" s="1"/>
  <c r="C327" i="7" s="1"/>
  <c r="D327" i="7" s="1"/>
  <c r="B328" i="7" a="1"/>
  <c r="B328" i="7" s="1"/>
  <c r="C328" i="7" s="1"/>
  <c r="D328" i="7" s="1"/>
  <c r="B329" i="7" a="1"/>
  <c r="B329" i="7" s="1"/>
  <c r="C329" i="7" s="1"/>
  <c r="D329" i="7" s="1"/>
  <c r="B330" i="7" a="1"/>
  <c r="B330" i="7" s="1"/>
  <c r="C330" i="7" s="1"/>
  <c r="D330" i="7" s="1"/>
  <c r="B331" i="7" a="1"/>
  <c r="B331" i="7" s="1"/>
  <c r="C331" i="7" s="1"/>
  <c r="D331" i="7" s="1"/>
  <c r="B332" i="7" a="1"/>
  <c r="B332" i="7" s="1"/>
  <c r="C332" i="7" s="1"/>
  <c r="D332" i="7" s="1"/>
  <c r="B333" i="7" a="1"/>
  <c r="B333" i="7" s="1"/>
  <c r="C333" i="7" s="1"/>
  <c r="D333" i="7" s="1"/>
  <c r="B334" i="7" a="1"/>
  <c r="B334" i="7" s="1"/>
  <c r="C334" i="7" s="1"/>
  <c r="D334" i="7" s="1"/>
  <c r="B335" i="7" a="1"/>
  <c r="B335" i="7" s="1"/>
  <c r="C335" i="7" s="1"/>
  <c r="D335" i="7" s="1"/>
  <c r="B336" i="7" a="1"/>
  <c r="B336" i="7" s="1"/>
  <c r="C336" i="7" s="1"/>
  <c r="D336" i="7" s="1"/>
  <c r="B337" i="7" a="1"/>
  <c r="B337" i="7" s="1"/>
  <c r="C337" i="7" s="1"/>
  <c r="D337" i="7" s="1"/>
  <c r="B338" i="7" a="1"/>
  <c r="B338" i="7" s="1"/>
  <c r="C338" i="7" s="1"/>
  <c r="D338" i="7" s="1"/>
  <c r="B339" i="7" a="1"/>
  <c r="B339" i="7" s="1"/>
  <c r="C339" i="7" s="1"/>
  <c r="D339" i="7" s="1"/>
  <c r="B340" i="7" a="1"/>
  <c r="B340" i="7" s="1"/>
  <c r="C340" i="7" s="1"/>
  <c r="D340" i="7" s="1"/>
  <c r="B341" i="7" a="1"/>
  <c r="B341" i="7" s="1"/>
  <c r="C341" i="7" s="1"/>
  <c r="D341" i="7" s="1"/>
  <c r="B342" i="7" a="1"/>
  <c r="B342" i="7" s="1"/>
  <c r="C342" i="7" s="1"/>
  <c r="D342" i="7" s="1"/>
  <c r="B343" i="7" a="1"/>
  <c r="B343" i="7" s="1"/>
  <c r="C343" i="7" s="1"/>
  <c r="D343" i="7" s="1"/>
  <c r="B344" i="7" a="1"/>
  <c r="B344" i="7" s="1"/>
  <c r="C344" i="7" s="1"/>
  <c r="D344" i="7" s="1"/>
  <c r="B345" i="7" a="1"/>
  <c r="B345" i="7" s="1"/>
  <c r="C345" i="7" s="1"/>
  <c r="D345" i="7" s="1"/>
  <c r="B346" i="7" a="1"/>
  <c r="B346" i="7" s="1"/>
  <c r="C346" i="7" s="1"/>
  <c r="D346" i="7" s="1"/>
  <c r="B347" i="7" a="1"/>
  <c r="B347" i="7" s="1"/>
  <c r="C347" i="7" s="1"/>
  <c r="D347" i="7" s="1"/>
  <c r="B348" i="7" a="1"/>
  <c r="B348" i="7" s="1"/>
  <c r="C348" i="7" s="1"/>
  <c r="D348" i="7" s="1"/>
  <c r="B349" i="7" a="1"/>
  <c r="B349" i="7" s="1"/>
  <c r="C349" i="7" s="1"/>
  <c r="D349" i="7" s="1"/>
  <c r="B350" i="7" a="1"/>
  <c r="B350" i="7" s="1"/>
  <c r="C350" i="7" s="1"/>
  <c r="D350" i="7" s="1"/>
  <c r="B351" i="7" a="1"/>
  <c r="B351" i="7" s="1"/>
  <c r="C351" i="7" s="1"/>
  <c r="D351" i="7" s="1"/>
  <c r="B352" i="7" a="1"/>
  <c r="B352" i="7" s="1"/>
  <c r="C352" i="7" s="1"/>
  <c r="D352" i="7" s="1"/>
  <c r="B353" i="7" a="1"/>
  <c r="B353" i="7" s="1"/>
  <c r="C353" i="7" s="1"/>
  <c r="D353" i="7" s="1"/>
  <c r="B354" i="7" a="1"/>
  <c r="B354" i="7" s="1"/>
  <c r="C354" i="7" s="1"/>
  <c r="D354" i="7" s="1"/>
  <c r="B355" i="7" a="1"/>
  <c r="B355" i="7" s="1"/>
  <c r="C355" i="7" s="1"/>
  <c r="D355" i="7" s="1"/>
  <c r="B356" i="7" a="1"/>
  <c r="B356" i="7" s="1"/>
  <c r="C356" i="7" s="1"/>
  <c r="D356" i="7" s="1"/>
  <c r="B357" i="7" a="1"/>
  <c r="B357" i="7" s="1"/>
  <c r="C357" i="7" s="1"/>
  <c r="D357" i="7" s="1"/>
  <c r="B358" i="7" a="1"/>
  <c r="B358" i="7" s="1"/>
  <c r="C358" i="7" s="1"/>
  <c r="D358" i="7" s="1"/>
  <c r="B359" i="7" a="1"/>
  <c r="B359" i="7" s="1"/>
  <c r="C359" i="7" s="1"/>
  <c r="D359" i="7" s="1"/>
  <c r="B360" i="7" a="1"/>
  <c r="B360" i="7" s="1"/>
  <c r="C360" i="7" s="1"/>
  <c r="D360" i="7" s="1"/>
  <c r="B361" i="7" a="1"/>
  <c r="B361" i="7" s="1"/>
  <c r="C361" i="7" s="1"/>
  <c r="D361" i="7" s="1"/>
  <c r="B362" i="7" a="1"/>
  <c r="B362" i="7" s="1"/>
  <c r="C362" i="7" s="1"/>
  <c r="D362" i="7" s="1"/>
  <c r="B363" i="7" a="1"/>
  <c r="B363" i="7" s="1"/>
  <c r="C363" i="7" s="1"/>
  <c r="D363" i="7" s="1"/>
  <c r="B364" i="7" a="1"/>
  <c r="B364" i="7" s="1"/>
  <c r="C364" i="7" s="1"/>
  <c r="D364" i="7" s="1"/>
  <c r="B365" i="7" a="1"/>
  <c r="B365" i="7" s="1"/>
  <c r="C365" i="7" s="1"/>
  <c r="D365" i="7" s="1"/>
  <c r="B366" i="7" a="1"/>
  <c r="B366" i="7" s="1"/>
  <c r="C366" i="7" s="1"/>
  <c r="D366" i="7" s="1"/>
  <c r="B367" i="7" a="1"/>
  <c r="B367" i="7" s="1"/>
  <c r="C367" i="7" s="1"/>
  <c r="D367" i="7" s="1"/>
  <c r="B368" i="7" a="1"/>
  <c r="B368" i="7" s="1"/>
  <c r="C368" i="7" s="1"/>
  <c r="D368" i="7" s="1"/>
  <c r="B369" i="7" a="1"/>
  <c r="B369" i="7" s="1"/>
  <c r="C369" i="7" s="1"/>
  <c r="D369" i="7" s="1"/>
  <c r="B370" i="7" a="1"/>
  <c r="B370" i="7" s="1"/>
  <c r="C370" i="7" s="1"/>
  <c r="D370" i="7" s="1"/>
  <c r="B371" i="7" a="1"/>
  <c r="B371" i="7" s="1"/>
  <c r="C371" i="7" s="1"/>
  <c r="D371" i="7" s="1"/>
  <c r="B372" i="7" a="1"/>
  <c r="B372" i="7" s="1"/>
  <c r="C372" i="7" s="1"/>
  <c r="D372" i="7" s="1"/>
  <c r="B373" i="7" a="1"/>
  <c r="B373" i="7" s="1"/>
  <c r="C373" i="7" s="1"/>
  <c r="D373" i="7" s="1"/>
  <c r="B374" i="7" a="1"/>
  <c r="B374" i="7" s="1"/>
  <c r="C374" i="7" s="1"/>
  <c r="D374" i="7" s="1"/>
  <c r="B375" i="7" a="1"/>
  <c r="B375" i="7" s="1"/>
  <c r="C375" i="7" s="1"/>
  <c r="D375" i="7" s="1"/>
  <c r="B376" i="7" a="1"/>
  <c r="B376" i="7" s="1"/>
  <c r="C376" i="7" s="1"/>
  <c r="D376" i="7" s="1"/>
  <c r="B377" i="7" a="1"/>
  <c r="B377" i="7" s="1"/>
  <c r="C377" i="7" s="1"/>
  <c r="D377" i="7" s="1"/>
  <c r="B378" i="7" a="1"/>
  <c r="B378" i="7" s="1"/>
  <c r="C378" i="7" s="1"/>
  <c r="D378" i="7" s="1"/>
  <c r="B379" i="7" a="1"/>
  <c r="B379" i="7" s="1"/>
  <c r="C379" i="7" s="1"/>
  <c r="D379" i="7" s="1"/>
  <c r="B380" i="7" a="1"/>
  <c r="B380" i="7" s="1"/>
  <c r="C380" i="7" s="1"/>
  <c r="D380" i="7" s="1"/>
  <c r="B381" i="7" a="1"/>
  <c r="B381" i="7" s="1"/>
  <c r="C381" i="7" s="1"/>
  <c r="D381" i="7" s="1"/>
  <c r="B382" i="7" a="1"/>
  <c r="B382" i="7" s="1"/>
  <c r="C382" i="7" s="1"/>
  <c r="D382" i="7" s="1"/>
  <c r="B383" i="7" a="1"/>
  <c r="B383" i="7" s="1"/>
  <c r="C383" i="7" s="1"/>
  <c r="D383" i="7" s="1"/>
  <c r="B384" i="7" a="1"/>
  <c r="B384" i="7" s="1"/>
  <c r="C384" i="7" s="1"/>
  <c r="D384" i="7" s="1"/>
  <c r="B385" i="7" a="1"/>
  <c r="B385" i="7" s="1"/>
  <c r="C385" i="7" s="1"/>
  <c r="D385" i="7" s="1"/>
  <c r="B386" i="7" a="1"/>
  <c r="B386" i="7" s="1"/>
  <c r="C386" i="7" s="1"/>
  <c r="D386" i="7" s="1"/>
  <c r="B387" i="7" a="1"/>
  <c r="B387" i="7" s="1"/>
  <c r="C387" i="7" s="1"/>
  <c r="D387" i="7" s="1"/>
  <c r="B388" i="7" a="1"/>
  <c r="B388" i="7" s="1"/>
  <c r="C388" i="7" s="1"/>
  <c r="D388" i="7" s="1"/>
  <c r="B389" i="7" a="1"/>
  <c r="B389" i="7" s="1"/>
  <c r="C389" i="7" s="1"/>
  <c r="D389" i="7" s="1"/>
  <c r="B390" i="7" a="1"/>
  <c r="B390" i="7" s="1"/>
  <c r="C390" i="7" s="1"/>
  <c r="D390" i="7" s="1"/>
  <c r="B391" i="7" a="1"/>
  <c r="B391" i="7" s="1"/>
  <c r="C391" i="7" s="1"/>
  <c r="D391" i="7" s="1"/>
  <c r="B392" i="7" a="1"/>
  <c r="B392" i="7" s="1"/>
  <c r="C392" i="7" s="1"/>
  <c r="D392" i="7" s="1"/>
  <c r="B393" i="7" a="1"/>
  <c r="B393" i="7" s="1"/>
  <c r="C393" i="7" s="1"/>
  <c r="D393" i="7" s="1"/>
  <c r="B394" i="7" a="1"/>
  <c r="B394" i="7" s="1"/>
  <c r="C394" i="7" s="1"/>
  <c r="D394" i="7" s="1"/>
  <c r="B395" i="7" a="1"/>
  <c r="B395" i="7" s="1"/>
  <c r="C395" i="7" s="1"/>
  <c r="D395" i="7" s="1"/>
  <c r="B396" i="7" a="1"/>
  <c r="B396" i="7" s="1"/>
  <c r="C396" i="7" s="1"/>
  <c r="D396" i="7" s="1"/>
  <c r="B397" i="7" a="1"/>
  <c r="B397" i="7" s="1"/>
  <c r="C397" i="7" s="1"/>
  <c r="D397" i="7" s="1"/>
  <c r="B398" i="7" a="1"/>
  <c r="B398" i="7" s="1"/>
  <c r="C398" i="7" s="1"/>
  <c r="D398" i="7" s="1"/>
  <c r="B399" i="7" a="1"/>
  <c r="B399" i="7" s="1"/>
  <c r="C399" i="7" s="1"/>
  <c r="D399" i="7" s="1"/>
  <c r="B400" i="7" a="1"/>
  <c r="B400" i="7" s="1"/>
  <c r="C400" i="7" s="1"/>
  <c r="D400" i="7" s="1"/>
  <c r="B401" i="7" a="1"/>
  <c r="B401" i="7" s="1"/>
  <c r="C401" i="7" s="1"/>
  <c r="D401" i="7" s="1"/>
  <c r="B402" i="7" a="1"/>
  <c r="B402" i="7" s="1"/>
  <c r="C402" i="7" s="1"/>
  <c r="D402" i="7" s="1"/>
  <c r="B403" i="7" a="1"/>
  <c r="B403" i="7" s="1"/>
  <c r="C403" i="7" s="1"/>
  <c r="D403" i="7" s="1"/>
  <c r="B404" i="7" a="1"/>
  <c r="B404" i="7" s="1"/>
  <c r="C404" i="7" s="1"/>
  <c r="D404" i="7" s="1"/>
  <c r="B405" i="7" a="1"/>
  <c r="B405" i="7" s="1"/>
  <c r="C405" i="7" s="1"/>
  <c r="D405" i="7" s="1"/>
  <c r="B406" i="7" a="1"/>
  <c r="B406" i="7" s="1"/>
  <c r="C406" i="7" s="1"/>
  <c r="D406" i="7" s="1"/>
  <c r="B407" i="7" a="1"/>
  <c r="B407" i="7" s="1"/>
  <c r="C407" i="7" s="1"/>
  <c r="D407" i="7" s="1"/>
  <c r="B408" i="7" a="1"/>
  <c r="B408" i="7" s="1"/>
  <c r="C408" i="7" s="1"/>
  <c r="D408" i="7" s="1"/>
  <c r="B409" i="7" a="1"/>
  <c r="B409" i="7" s="1"/>
  <c r="C409" i="7" s="1"/>
  <c r="D409" i="7" s="1"/>
  <c r="B410" i="7" a="1"/>
  <c r="B410" i="7" s="1"/>
  <c r="C410" i="7" s="1"/>
  <c r="D410" i="7" s="1"/>
  <c r="B411" i="7" a="1"/>
  <c r="B411" i="7" s="1"/>
  <c r="C411" i="7" s="1"/>
  <c r="D411" i="7" s="1"/>
  <c r="B412" i="7" a="1"/>
  <c r="B412" i="7" s="1"/>
  <c r="C412" i="7" s="1"/>
  <c r="D412" i="7" s="1"/>
  <c r="B413" i="7" a="1"/>
  <c r="B413" i="7" s="1"/>
  <c r="C413" i="7" s="1"/>
  <c r="D413" i="7" s="1"/>
  <c r="B414" i="7" a="1"/>
  <c r="B414" i="7" s="1"/>
  <c r="C414" i="7" s="1"/>
  <c r="D414" i="7" s="1"/>
  <c r="B415" i="7" a="1"/>
  <c r="B415" i="7" s="1"/>
  <c r="C415" i="7" s="1"/>
  <c r="D415" i="7" s="1"/>
  <c r="B416" i="7" a="1"/>
  <c r="B416" i="7" s="1"/>
  <c r="C416" i="7" s="1"/>
  <c r="D416" i="7" s="1"/>
  <c r="B417" i="7" a="1"/>
  <c r="B417" i="7" s="1"/>
  <c r="C417" i="7" s="1"/>
  <c r="D417" i="7" s="1"/>
  <c r="B418" i="7" a="1"/>
  <c r="B418" i="7" s="1"/>
  <c r="C418" i="7" s="1"/>
  <c r="D418" i="7" s="1"/>
  <c r="B419" i="7" a="1"/>
  <c r="B419" i="7" s="1"/>
  <c r="C419" i="7" s="1"/>
  <c r="D419" i="7" s="1"/>
  <c r="B420" i="7" a="1"/>
  <c r="B420" i="7" s="1"/>
  <c r="C420" i="7" s="1"/>
  <c r="D420" i="7" s="1"/>
  <c r="B421" i="7" a="1"/>
  <c r="B421" i="7" s="1"/>
  <c r="C421" i="7" s="1"/>
  <c r="D421" i="7" s="1"/>
  <c r="B422" i="7" a="1"/>
  <c r="B422" i="7" s="1"/>
  <c r="C422" i="7" s="1"/>
  <c r="D422" i="7" s="1"/>
  <c r="B423" i="7" a="1"/>
  <c r="B423" i="7" s="1"/>
  <c r="C423" i="7" s="1"/>
  <c r="D423" i="7" s="1"/>
  <c r="B424" i="7" a="1"/>
  <c r="B424" i="7" s="1"/>
  <c r="C424" i="7" s="1"/>
  <c r="D424" i="7" s="1"/>
  <c r="B425" i="7" a="1"/>
  <c r="B425" i="7" s="1"/>
  <c r="C425" i="7" s="1"/>
  <c r="D425" i="7" s="1"/>
  <c r="B426" i="7" a="1"/>
  <c r="B426" i="7" s="1"/>
  <c r="C426" i="7" s="1"/>
  <c r="D426" i="7" s="1"/>
  <c r="B427" i="7" a="1"/>
  <c r="B427" i="7" s="1"/>
  <c r="C427" i="7" s="1"/>
  <c r="D427" i="7" s="1"/>
  <c r="B428" i="7" a="1"/>
  <c r="B428" i="7" s="1"/>
  <c r="C428" i="7" s="1"/>
  <c r="D428" i="7" s="1"/>
  <c r="B429" i="7" a="1"/>
  <c r="B429" i="7" s="1"/>
  <c r="C429" i="7" s="1"/>
  <c r="D429" i="7" s="1"/>
  <c r="B430" i="7" a="1"/>
  <c r="B430" i="7" s="1"/>
  <c r="C430" i="7" s="1"/>
  <c r="D430" i="7" s="1"/>
  <c r="B431" i="7" a="1"/>
  <c r="B431" i="7" s="1"/>
  <c r="C431" i="7" s="1"/>
  <c r="D431" i="7" s="1"/>
  <c r="B432" i="7" a="1"/>
  <c r="B432" i="7" s="1"/>
  <c r="C432" i="7" s="1"/>
  <c r="D432" i="7" s="1"/>
  <c r="B433" i="7" a="1"/>
  <c r="B433" i="7" s="1"/>
  <c r="C433" i="7" s="1"/>
  <c r="D433" i="7" s="1"/>
  <c r="B434" i="7" a="1"/>
  <c r="B434" i="7" s="1"/>
  <c r="C434" i="7" s="1"/>
  <c r="D434" i="7" s="1"/>
  <c r="B435" i="7" a="1"/>
  <c r="B435" i="7" s="1"/>
  <c r="C435" i="7" s="1"/>
  <c r="D435" i="7" s="1"/>
  <c r="B436" i="7" a="1"/>
  <c r="B436" i="7" s="1"/>
  <c r="C436" i="7" s="1"/>
  <c r="D436" i="7" s="1"/>
  <c r="B437" i="7" a="1"/>
  <c r="B437" i="7" s="1"/>
  <c r="C437" i="7" s="1"/>
  <c r="D437" i="7" s="1"/>
  <c r="B438" i="7" a="1"/>
  <c r="B438" i="7" s="1"/>
  <c r="C438" i="7" s="1"/>
  <c r="D438" i="7" s="1"/>
  <c r="B439" i="7" a="1"/>
  <c r="B439" i="7" s="1"/>
  <c r="C439" i="7" s="1"/>
  <c r="D439" i="7" s="1"/>
  <c r="B440" i="7" a="1"/>
  <c r="B440" i="7" s="1"/>
  <c r="C440" i="7" s="1"/>
  <c r="D440" i="7" s="1"/>
  <c r="B441" i="7" a="1"/>
  <c r="B441" i="7" s="1"/>
  <c r="C441" i="7" s="1"/>
  <c r="D441" i="7" s="1"/>
  <c r="B442" i="7" a="1"/>
  <c r="B442" i="7" s="1"/>
  <c r="C442" i="7" s="1"/>
  <c r="D442" i="7" s="1"/>
  <c r="B443" i="7" a="1"/>
  <c r="B443" i="7" s="1"/>
  <c r="C443" i="7" s="1"/>
  <c r="D443" i="7" s="1"/>
  <c r="B444" i="7" a="1"/>
  <c r="B444" i="7" s="1"/>
  <c r="C444" i="7" s="1"/>
  <c r="D444" i="7" s="1"/>
  <c r="B445" i="7" a="1"/>
  <c r="B445" i="7" s="1"/>
  <c r="C445" i="7" s="1"/>
  <c r="D445" i="7" s="1"/>
  <c r="B446" i="7" a="1"/>
  <c r="B446" i="7" s="1"/>
  <c r="C446" i="7" s="1"/>
  <c r="D446" i="7" s="1"/>
  <c r="B447" i="7" a="1"/>
  <c r="B447" i="7" s="1"/>
  <c r="C447" i="7" s="1"/>
  <c r="D447" i="7" s="1"/>
  <c r="B448" i="7" a="1"/>
  <c r="B448" i="7" s="1"/>
  <c r="C448" i="7" s="1"/>
  <c r="D448" i="7" s="1"/>
  <c r="B449" i="7" a="1"/>
  <c r="B449" i="7" s="1"/>
  <c r="C449" i="7" s="1"/>
  <c r="D449" i="7" s="1"/>
  <c r="B450" i="7" a="1"/>
  <c r="B450" i="7" s="1"/>
  <c r="C450" i="7" s="1"/>
  <c r="D450" i="7" s="1"/>
  <c r="B451" i="7" a="1"/>
  <c r="B451" i="7" s="1"/>
  <c r="C451" i="7" s="1"/>
  <c r="D451" i="7" s="1"/>
  <c r="B452" i="7" a="1"/>
  <c r="B452" i="7" s="1"/>
  <c r="C452" i="7" s="1"/>
  <c r="D452" i="7" s="1"/>
  <c r="B453" i="7" a="1"/>
  <c r="B453" i="7" s="1"/>
  <c r="C453" i="7" s="1"/>
  <c r="D453" i="7" s="1"/>
  <c r="B454" i="7" a="1"/>
  <c r="B454" i="7" s="1"/>
  <c r="C454" i="7" s="1"/>
  <c r="D454" i="7" s="1"/>
  <c r="B455" i="7" a="1"/>
  <c r="B455" i="7" s="1"/>
  <c r="C455" i="7" s="1"/>
  <c r="D455" i="7" s="1"/>
  <c r="B456" i="7" a="1"/>
  <c r="B456" i="7" s="1"/>
  <c r="C456" i="7" s="1"/>
  <c r="D456" i="7" s="1"/>
  <c r="B457" i="7" a="1"/>
  <c r="B457" i="7" s="1"/>
  <c r="C457" i="7" s="1"/>
  <c r="D457" i="7" s="1"/>
  <c r="B458" i="7" a="1"/>
  <c r="B458" i="7" s="1"/>
  <c r="C458" i="7" s="1"/>
  <c r="D458" i="7" s="1"/>
  <c r="B459" i="7" a="1"/>
  <c r="B459" i="7" s="1"/>
  <c r="C459" i="7" s="1"/>
  <c r="D459" i="7" s="1"/>
  <c r="B460" i="7" a="1"/>
  <c r="B460" i="7" s="1"/>
  <c r="C460" i="7" s="1"/>
  <c r="D460" i="7" s="1"/>
  <c r="B461" i="7" a="1"/>
  <c r="B461" i="7" s="1"/>
  <c r="C461" i="7" s="1"/>
  <c r="D461" i="7" s="1"/>
  <c r="B462" i="7" a="1"/>
  <c r="B462" i="7" s="1"/>
  <c r="C462" i="7" s="1"/>
  <c r="D462" i="7" s="1"/>
  <c r="B463" i="7" a="1"/>
  <c r="B463" i="7" s="1"/>
  <c r="C463" i="7" s="1"/>
  <c r="D463" i="7" s="1"/>
  <c r="B464" i="7" a="1"/>
  <c r="B464" i="7" s="1"/>
  <c r="C464" i="7" s="1"/>
  <c r="D464" i="7" s="1"/>
  <c r="B465" i="7" a="1"/>
  <c r="B465" i="7" s="1"/>
  <c r="C465" i="7" s="1"/>
  <c r="D465" i="7" s="1"/>
  <c r="B466" i="7" a="1"/>
  <c r="B466" i="7" s="1"/>
  <c r="C466" i="7" s="1"/>
  <c r="D466" i="7" s="1"/>
  <c r="B467" i="7" a="1"/>
  <c r="B467" i="7" s="1"/>
  <c r="C467" i="7" s="1"/>
  <c r="D467" i="7" s="1"/>
  <c r="B468" i="7" a="1"/>
  <c r="B468" i="7" s="1"/>
  <c r="C468" i="7" s="1"/>
  <c r="D468" i="7" s="1"/>
  <c r="B469" i="7" a="1"/>
  <c r="B469" i="7" s="1"/>
  <c r="C469" i="7" s="1"/>
  <c r="D469" i="7" s="1"/>
  <c r="B470" i="7" a="1"/>
  <c r="B470" i="7" s="1"/>
  <c r="C470" i="7" s="1"/>
  <c r="D470" i="7" s="1"/>
  <c r="B471" i="7" a="1"/>
  <c r="B471" i="7" s="1"/>
  <c r="C471" i="7" s="1"/>
  <c r="D471" i="7" s="1"/>
  <c r="B472" i="7" a="1"/>
  <c r="B472" i="7" s="1"/>
  <c r="C472" i="7" s="1"/>
  <c r="D472" i="7" s="1"/>
  <c r="B473" i="7" a="1"/>
  <c r="B473" i="7" s="1"/>
  <c r="C473" i="7" s="1"/>
  <c r="D473" i="7" s="1"/>
  <c r="B474" i="7" a="1"/>
  <c r="B474" i="7" s="1"/>
  <c r="C474" i="7" s="1"/>
  <c r="D474" i="7" s="1"/>
  <c r="B475" i="7" a="1"/>
  <c r="B475" i="7" s="1"/>
  <c r="C475" i="7" s="1"/>
  <c r="D475" i="7" s="1"/>
  <c r="B476" i="7" a="1"/>
  <c r="B476" i="7" s="1"/>
  <c r="C476" i="7" s="1"/>
  <c r="D476" i="7" s="1"/>
  <c r="B477" i="7" a="1"/>
  <c r="B477" i="7" s="1"/>
  <c r="C477" i="7" s="1"/>
  <c r="D477" i="7" s="1"/>
  <c r="B478" i="7" a="1"/>
  <c r="B478" i="7" s="1"/>
  <c r="C478" i="7" s="1"/>
  <c r="D478" i="7" s="1"/>
  <c r="B479" i="7" a="1"/>
  <c r="B479" i="7" s="1"/>
  <c r="C479" i="7" s="1"/>
  <c r="D479" i="7" s="1"/>
  <c r="B480" i="7" a="1"/>
  <c r="B480" i="7" s="1"/>
  <c r="C480" i="7" s="1"/>
  <c r="D480" i="7" s="1"/>
  <c r="B481" i="7" a="1"/>
  <c r="B481" i="7" s="1"/>
  <c r="C481" i="7" s="1"/>
  <c r="D481" i="7" s="1"/>
  <c r="B482" i="7" a="1"/>
  <c r="B482" i="7" s="1"/>
  <c r="C482" i="7" s="1"/>
  <c r="D482" i="7" s="1"/>
  <c r="B483" i="7" a="1"/>
  <c r="B483" i="7" s="1"/>
  <c r="C483" i="7" s="1"/>
  <c r="D483" i="7" s="1"/>
  <c r="B484" i="7" a="1"/>
  <c r="B484" i="7" s="1"/>
  <c r="C484" i="7" s="1"/>
  <c r="D484" i="7" s="1"/>
  <c r="B485" i="7" a="1"/>
  <c r="B485" i="7" s="1"/>
  <c r="C485" i="7" s="1"/>
  <c r="D485" i="7" s="1"/>
  <c r="B486" i="7" a="1"/>
  <c r="B486" i="7" s="1"/>
  <c r="C486" i="7" s="1"/>
  <c r="D486" i="7" s="1"/>
  <c r="B487" i="7" a="1"/>
  <c r="B487" i="7" s="1"/>
  <c r="C487" i="7" s="1"/>
  <c r="D487" i="7" s="1"/>
  <c r="B488" i="7" a="1"/>
  <c r="B488" i="7" s="1"/>
  <c r="C488" i="7" s="1"/>
  <c r="D488" i="7" s="1"/>
  <c r="B489" i="7" a="1"/>
  <c r="B489" i="7" s="1"/>
  <c r="C489" i="7" s="1"/>
  <c r="D489" i="7" s="1"/>
  <c r="B490" i="7" a="1"/>
  <c r="B490" i="7" s="1"/>
  <c r="C490" i="7" s="1"/>
  <c r="D490" i="7" s="1"/>
  <c r="B491" i="7" a="1"/>
  <c r="B491" i="7" s="1"/>
  <c r="C491" i="7" s="1"/>
  <c r="D491" i="7" s="1"/>
  <c r="B492" i="7" a="1"/>
  <c r="B492" i="7" s="1"/>
  <c r="C492" i="7" s="1"/>
  <c r="D492" i="7" s="1"/>
  <c r="B493" i="7" a="1"/>
  <c r="B493" i="7" s="1"/>
  <c r="C493" i="7" s="1"/>
  <c r="D493" i="7" s="1"/>
  <c r="B494" i="7" a="1"/>
  <c r="B494" i="7" s="1"/>
  <c r="C494" i="7" s="1"/>
  <c r="D494" i="7" s="1"/>
  <c r="B495" i="7" a="1"/>
  <c r="B495" i="7" s="1"/>
  <c r="C495" i="7" s="1"/>
  <c r="D495" i="7" s="1"/>
  <c r="B496" i="7" a="1"/>
  <c r="B496" i="7" s="1"/>
  <c r="C496" i="7" s="1"/>
  <c r="D496" i="7" s="1"/>
  <c r="B497" i="7" a="1"/>
  <c r="B497" i="7" s="1"/>
  <c r="C497" i="7" s="1"/>
  <c r="D497" i="7" s="1"/>
  <c r="B498" i="7" a="1"/>
  <c r="B498" i="7" s="1"/>
  <c r="C498" i="7" s="1"/>
  <c r="D498" i="7" s="1"/>
  <c r="B499" i="7" a="1"/>
  <c r="B499" i="7" s="1"/>
  <c r="C499" i="7" s="1"/>
  <c r="D499" i="7" s="1"/>
  <c r="B500" i="7" a="1"/>
  <c r="B500" i="7" s="1"/>
  <c r="C500" i="7" s="1"/>
  <c r="D500" i="7" s="1"/>
  <c r="B501" i="7" a="1"/>
  <c r="B501" i="7" s="1"/>
  <c r="C501" i="7" s="1"/>
  <c r="D501" i="7" s="1"/>
  <c r="B502" i="7" a="1"/>
  <c r="B502" i="7" s="1"/>
  <c r="C502" i="7" s="1"/>
  <c r="D502" i="7" s="1"/>
  <c r="B503" i="7" a="1"/>
  <c r="B503" i="7" s="1"/>
  <c r="C503" i="7" s="1"/>
  <c r="D503" i="7" s="1"/>
  <c r="B504" i="7" a="1"/>
  <c r="B504" i="7" s="1"/>
  <c r="C504" i="7" s="1"/>
  <c r="D504" i="7" s="1"/>
  <c r="B505" i="7" a="1"/>
  <c r="B505" i="7" s="1"/>
  <c r="C505" i="7" s="1"/>
  <c r="D505" i="7" s="1"/>
  <c r="B506" i="7" a="1"/>
  <c r="B506" i="7" s="1"/>
  <c r="C506" i="7" s="1"/>
  <c r="D506" i="7" s="1"/>
  <c r="B507" i="7" a="1"/>
  <c r="B507" i="7" s="1"/>
  <c r="C507" i="7" s="1"/>
  <c r="D507" i="7" s="1"/>
  <c r="B508" i="7" a="1"/>
  <c r="B508" i="7" s="1"/>
  <c r="C508" i="7" s="1"/>
  <c r="D508" i="7" s="1"/>
  <c r="B509" i="7" a="1"/>
  <c r="B509" i="7" s="1"/>
  <c r="C509" i="7" s="1"/>
  <c r="D509" i="7" s="1"/>
  <c r="B510" i="7" a="1"/>
  <c r="B510" i="7" s="1"/>
  <c r="C510" i="7" s="1"/>
  <c r="D510" i="7" s="1"/>
  <c r="B511" i="7" a="1"/>
  <c r="B511" i="7" s="1"/>
  <c r="C511" i="7" s="1"/>
  <c r="D511" i="7" s="1"/>
  <c r="B512" i="7" a="1"/>
  <c r="B512" i="7" s="1"/>
  <c r="C512" i="7" s="1"/>
  <c r="D512" i="7" s="1"/>
  <c r="B513" i="7" a="1"/>
  <c r="B513" i="7" s="1"/>
  <c r="C513" i="7" s="1"/>
  <c r="D513" i="7" s="1"/>
  <c r="B514" i="7" a="1"/>
  <c r="B514" i="7" s="1"/>
  <c r="C514" i="7" s="1"/>
  <c r="D514" i="7" s="1"/>
  <c r="B515" i="7" a="1"/>
  <c r="B515" i="7" s="1"/>
  <c r="C515" i="7" s="1"/>
  <c r="D515" i="7" s="1"/>
  <c r="B516" i="7" a="1"/>
  <c r="B516" i="7" s="1"/>
  <c r="C516" i="7" s="1"/>
  <c r="D516" i="7" s="1"/>
  <c r="B517" i="7" a="1"/>
  <c r="B517" i="7" s="1"/>
  <c r="C517" i="7" s="1"/>
  <c r="D517" i="7" s="1"/>
  <c r="B518" i="7" a="1"/>
  <c r="B518" i="7" s="1"/>
  <c r="C518" i="7" s="1"/>
  <c r="D518" i="7" s="1"/>
  <c r="B519" i="7" a="1"/>
  <c r="B519" i="7" s="1"/>
  <c r="C519" i="7" s="1"/>
  <c r="D519" i="7" s="1"/>
  <c r="B520" i="7" a="1"/>
  <c r="B520" i="7" s="1"/>
  <c r="C520" i="7" s="1"/>
  <c r="D520" i="7" s="1"/>
  <c r="B521" i="7" a="1"/>
  <c r="B521" i="7" s="1"/>
  <c r="C521" i="7" s="1"/>
  <c r="D521" i="7" s="1"/>
  <c r="B522" i="7" a="1"/>
  <c r="B522" i="7" s="1"/>
  <c r="C522" i="7" s="1"/>
  <c r="D522" i="7" s="1"/>
  <c r="B523" i="7" a="1"/>
  <c r="B523" i="7" s="1"/>
  <c r="C523" i="7" s="1"/>
  <c r="D523" i="7" s="1"/>
  <c r="B524" i="7" a="1"/>
  <c r="B524" i="7" s="1"/>
  <c r="C524" i="7" s="1"/>
  <c r="D524" i="7" s="1"/>
  <c r="B525" i="7" a="1"/>
  <c r="B525" i="7" s="1"/>
  <c r="C525" i="7" s="1"/>
  <c r="D525" i="7" s="1"/>
  <c r="B526" i="7" a="1"/>
  <c r="B526" i="7" s="1"/>
  <c r="C526" i="7" s="1"/>
  <c r="D526" i="7" s="1"/>
  <c r="B527" i="7" a="1"/>
  <c r="B527" i="7" s="1"/>
  <c r="C527" i="7" s="1"/>
  <c r="D527" i="7" s="1"/>
  <c r="B528" i="7" a="1"/>
  <c r="B528" i="7" s="1"/>
  <c r="C528" i="7" s="1"/>
  <c r="D528" i="7" s="1"/>
  <c r="B529" i="7" a="1"/>
  <c r="B529" i="7" s="1"/>
  <c r="C529" i="7" s="1"/>
  <c r="D529" i="7" s="1"/>
  <c r="B530" i="7" a="1"/>
  <c r="B530" i="7" s="1"/>
  <c r="C530" i="7" s="1"/>
  <c r="D530" i="7" s="1"/>
  <c r="B531" i="7" a="1"/>
  <c r="B531" i="7" s="1"/>
  <c r="C531" i="7" s="1"/>
  <c r="D531" i="7" s="1"/>
  <c r="B532" i="7" a="1"/>
  <c r="B532" i="7" s="1"/>
  <c r="C532" i="7" s="1"/>
  <c r="D532" i="7" s="1"/>
  <c r="B533" i="7" a="1"/>
  <c r="B533" i="7" s="1"/>
  <c r="C533" i="7" s="1"/>
  <c r="D533" i="7" s="1"/>
  <c r="B534" i="7" a="1"/>
  <c r="B534" i="7" s="1"/>
  <c r="C534" i="7" s="1"/>
  <c r="D534" i="7" s="1"/>
  <c r="B535" i="7" a="1"/>
  <c r="B535" i="7" s="1"/>
  <c r="C535" i="7" s="1"/>
  <c r="D535" i="7" s="1"/>
  <c r="B536" i="7" a="1"/>
  <c r="B536" i="7" s="1"/>
  <c r="C536" i="7" s="1"/>
  <c r="D536" i="7" s="1"/>
  <c r="B537" i="7" a="1"/>
  <c r="B537" i="7" s="1"/>
  <c r="C537" i="7" s="1"/>
  <c r="D537" i="7" s="1"/>
  <c r="B538" i="7" a="1"/>
  <c r="B538" i="7" s="1"/>
  <c r="C538" i="7" s="1"/>
  <c r="D538" i="7" s="1"/>
  <c r="B539" i="7" a="1"/>
  <c r="B539" i="7" s="1"/>
  <c r="C539" i="7" s="1"/>
  <c r="D539" i="7" s="1"/>
  <c r="B540" i="7" a="1"/>
  <c r="B540" i="7" s="1"/>
  <c r="C540" i="7" s="1"/>
  <c r="D540" i="7" s="1"/>
  <c r="B541" i="7" a="1"/>
  <c r="B541" i="7" s="1"/>
  <c r="C541" i="7" s="1"/>
  <c r="D541" i="7" s="1"/>
  <c r="B542" i="7" a="1"/>
  <c r="B542" i="7" s="1"/>
  <c r="C542" i="7" s="1"/>
  <c r="D542" i="7" s="1"/>
  <c r="B543" i="7" a="1"/>
  <c r="B543" i="7" s="1"/>
  <c r="C543" i="7" s="1"/>
  <c r="D543" i="7" s="1"/>
  <c r="B544" i="7" a="1"/>
  <c r="B544" i="7" s="1"/>
  <c r="C544" i="7" s="1"/>
  <c r="D544" i="7" s="1"/>
  <c r="B545" i="7" a="1"/>
  <c r="B545" i="7" s="1"/>
  <c r="C545" i="7" s="1"/>
  <c r="D545" i="7" s="1"/>
  <c r="B546" i="7" a="1"/>
  <c r="B546" i="7" s="1"/>
  <c r="C546" i="7" s="1"/>
  <c r="D546" i="7" s="1"/>
  <c r="B547" i="7" a="1"/>
  <c r="B547" i="7" s="1"/>
  <c r="C547" i="7" s="1"/>
  <c r="D547" i="7" s="1"/>
  <c r="B548" i="7" a="1"/>
  <c r="B548" i="7" s="1"/>
  <c r="C548" i="7" s="1"/>
  <c r="D548" i="7" s="1"/>
  <c r="B549" i="7" a="1"/>
  <c r="B549" i="7" s="1"/>
  <c r="C549" i="7" s="1"/>
  <c r="D549" i="7" s="1"/>
  <c r="B550" i="7" a="1"/>
  <c r="B550" i="7" s="1"/>
  <c r="C550" i="7" s="1"/>
  <c r="D550" i="7" s="1"/>
  <c r="B551" i="7" a="1"/>
  <c r="B551" i="7" s="1"/>
  <c r="C551" i="7" s="1"/>
  <c r="D551" i="7" s="1"/>
  <c r="B552" i="7" a="1"/>
  <c r="B552" i="7" s="1"/>
  <c r="C552" i="7" s="1"/>
  <c r="D552" i="7" s="1"/>
  <c r="B553" i="7" a="1"/>
  <c r="B553" i="7" s="1"/>
  <c r="C553" i="7" s="1"/>
  <c r="D553" i="7" s="1"/>
  <c r="B554" i="7" a="1"/>
  <c r="B554" i="7" s="1"/>
  <c r="C554" i="7" s="1"/>
  <c r="D554" i="7" s="1"/>
  <c r="B555" i="7" a="1"/>
  <c r="B555" i="7" s="1"/>
  <c r="C555" i="7" s="1"/>
  <c r="D555" i="7" s="1"/>
  <c r="B556" i="7" a="1"/>
  <c r="B556" i="7" s="1"/>
  <c r="C556" i="7" s="1"/>
  <c r="D556" i="7" s="1"/>
  <c r="B557" i="7" a="1"/>
  <c r="B557" i="7" s="1"/>
  <c r="C557" i="7" s="1"/>
  <c r="D557" i="7" s="1"/>
  <c r="B558" i="7" a="1"/>
  <c r="B558" i="7" s="1"/>
  <c r="C558" i="7" s="1"/>
  <c r="D558" i="7" s="1"/>
  <c r="B559" i="7" a="1"/>
  <c r="B559" i="7" s="1"/>
  <c r="C559" i="7" s="1"/>
  <c r="D559" i="7" s="1"/>
  <c r="B560" i="7" a="1"/>
  <c r="B560" i="7" s="1"/>
  <c r="C560" i="7" s="1"/>
  <c r="D560" i="7" s="1"/>
  <c r="B561" i="7" a="1"/>
  <c r="B561" i="7" s="1"/>
  <c r="C561" i="7" s="1"/>
  <c r="D561" i="7" s="1"/>
  <c r="B562" i="7" a="1"/>
  <c r="B562" i="7" s="1"/>
  <c r="C562" i="7" s="1"/>
  <c r="D562" i="7" s="1"/>
  <c r="B563" i="7" a="1"/>
  <c r="B563" i="7" s="1"/>
  <c r="C563" i="7" s="1"/>
  <c r="D563" i="7" s="1"/>
  <c r="B564" i="7" a="1"/>
  <c r="B564" i="7" s="1"/>
  <c r="C564" i="7" s="1"/>
  <c r="D564" i="7" s="1"/>
  <c r="B565" i="7" a="1"/>
  <c r="B565" i="7" s="1"/>
  <c r="C565" i="7" s="1"/>
  <c r="D565" i="7" s="1"/>
  <c r="B566" i="7" a="1"/>
  <c r="B566" i="7" s="1"/>
  <c r="C566" i="7" s="1"/>
  <c r="D566" i="7" s="1"/>
  <c r="B567" i="7" a="1"/>
  <c r="B567" i="7" s="1"/>
  <c r="C567" i="7" s="1"/>
  <c r="D567" i="7" s="1"/>
  <c r="B568" i="7" a="1"/>
  <c r="B568" i="7" s="1"/>
  <c r="C568" i="7" s="1"/>
  <c r="D568" i="7" s="1"/>
  <c r="B569" i="7" a="1"/>
  <c r="B569" i="7" s="1"/>
  <c r="C569" i="7" s="1"/>
  <c r="D569" i="7" s="1"/>
  <c r="B570" i="7" a="1"/>
  <c r="B570" i="7" s="1"/>
  <c r="C570" i="7" s="1"/>
  <c r="D570" i="7" s="1"/>
  <c r="B571" i="7" a="1"/>
  <c r="B571" i="7" s="1"/>
  <c r="C571" i="7" s="1"/>
  <c r="D571" i="7" s="1"/>
  <c r="B572" i="7" a="1"/>
  <c r="B572" i="7" s="1"/>
  <c r="C572" i="7" s="1"/>
  <c r="D572" i="7" s="1"/>
  <c r="B573" i="7" a="1"/>
  <c r="B573" i="7" s="1"/>
  <c r="C573" i="7" s="1"/>
  <c r="D573" i="7" s="1"/>
  <c r="B574" i="7" a="1"/>
  <c r="B574" i="7" s="1"/>
  <c r="C574" i="7" s="1"/>
  <c r="D574" i="7" s="1"/>
  <c r="B575" i="7" a="1"/>
  <c r="B575" i="7" s="1"/>
  <c r="C575" i="7" s="1"/>
  <c r="D575" i="7" s="1"/>
  <c r="B576" i="7" a="1"/>
  <c r="B576" i="7" s="1"/>
  <c r="C576" i="7" s="1"/>
  <c r="D576" i="7" s="1"/>
  <c r="B577" i="7" a="1"/>
  <c r="B577" i="7" s="1"/>
  <c r="C577" i="7" s="1"/>
  <c r="D577" i="7" s="1"/>
  <c r="B578" i="7" a="1"/>
  <c r="B578" i="7" s="1"/>
  <c r="C578" i="7" s="1"/>
  <c r="D578" i="7" s="1"/>
  <c r="B579" i="7" a="1"/>
  <c r="B579" i="7" s="1"/>
  <c r="C579" i="7" s="1"/>
  <c r="D579" i="7" s="1"/>
  <c r="B580" i="7" a="1"/>
  <c r="B580" i="7" s="1"/>
  <c r="C580" i="7" s="1"/>
  <c r="D580" i="7" s="1"/>
  <c r="B581" i="7" a="1"/>
  <c r="B581" i="7" s="1"/>
  <c r="C581" i="7" s="1"/>
  <c r="D581" i="7" s="1"/>
  <c r="B582" i="7" a="1"/>
  <c r="B582" i="7" s="1"/>
  <c r="C582" i="7" s="1"/>
  <c r="D582" i="7" s="1"/>
  <c r="B583" i="7" a="1"/>
  <c r="B583" i="7" s="1"/>
  <c r="C583" i="7" s="1"/>
  <c r="D583" i="7" s="1"/>
  <c r="B584" i="7" a="1"/>
  <c r="B584" i="7" s="1"/>
  <c r="C584" i="7" s="1"/>
  <c r="D584" i="7" s="1"/>
  <c r="B585" i="7" a="1"/>
  <c r="B585" i="7" s="1"/>
  <c r="C585" i="7" s="1"/>
  <c r="D585" i="7" s="1"/>
  <c r="B586" i="7" a="1"/>
  <c r="B586" i="7" s="1"/>
  <c r="C586" i="7" s="1"/>
  <c r="D586" i="7" s="1"/>
  <c r="B587" i="7" a="1"/>
  <c r="B587" i="7" s="1"/>
  <c r="C587" i="7" s="1"/>
  <c r="D587" i="7" s="1"/>
  <c r="B588" i="7" a="1"/>
  <c r="B588" i="7" s="1"/>
  <c r="C588" i="7" s="1"/>
  <c r="D588" i="7" s="1"/>
  <c r="B589" i="7" a="1"/>
  <c r="B589" i="7" s="1"/>
  <c r="C589" i="7" s="1"/>
  <c r="D589" i="7" s="1"/>
  <c r="B590" i="7" a="1"/>
  <c r="B590" i="7" s="1"/>
  <c r="C590" i="7" s="1"/>
  <c r="D590" i="7" s="1"/>
  <c r="B591" i="7" a="1"/>
  <c r="B591" i="7" s="1"/>
  <c r="C591" i="7" s="1"/>
  <c r="D591" i="7" s="1"/>
  <c r="B592" i="7" a="1"/>
  <c r="B592" i="7" s="1"/>
  <c r="C592" i="7" s="1"/>
  <c r="D592" i="7" s="1"/>
  <c r="B593" i="7" a="1"/>
  <c r="B593" i="7" s="1"/>
  <c r="C593" i="7" s="1"/>
  <c r="D593" i="7" s="1"/>
  <c r="B594" i="7" a="1"/>
  <c r="B594" i="7" s="1"/>
  <c r="C594" i="7" s="1"/>
  <c r="D594" i="7" s="1"/>
  <c r="B595" i="7" a="1"/>
  <c r="B595" i="7" s="1"/>
  <c r="C595" i="7" s="1"/>
  <c r="D595" i="7" s="1"/>
  <c r="B596" i="7" a="1"/>
  <c r="B596" i="7" s="1"/>
  <c r="C596" i="7" s="1"/>
  <c r="D596" i="7" s="1"/>
  <c r="B597" i="7" a="1"/>
  <c r="B597" i="7" s="1"/>
  <c r="C597" i="7" s="1"/>
  <c r="D597" i="7" s="1"/>
  <c r="B598" i="7" a="1"/>
  <c r="B598" i="7" s="1"/>
  <c r="C598" i="7" s="1"/>
  <c r="D598" i="7" s="1"/>
  <c r="B599" i="7" a="1"/>
  <c r="B599" i="7" s="1"/>
  <c r="C599" i="7" s="1"/>
  <c r="D599" i="7" s="1"/>
  <c r="B600" i="7" a="1"/>
  <c r="B600" i="7" s="1"/>
  <c r="C600" i="7" s="1"/>
  <c r="D600" i="7" s="1"/>
  <c r="B601" i="7" a="1"/>
  <c r="B601" i="7" s="1"/>
  <c r="C601" i="7" s="1"/>
  <c r="D601" i="7" s="1"/>
  <c r="B602" i="7" a="1"/>
  <c r="B602" i="7" s="1"/>
  <c r="C602" i="7" s="1"/>
  <c r="D602" i="7" s="1"/>
  <c r="B603" i="7" a="1"/>
  <c r="B603" i="7" s="1"/>
  <c r="C603" i="7" s="1"/>
  <c r="D603" i="7" s="1"/>
  <c r="B604" i="7" a="1"/>
  <c r="B604" i="7" s="1"/>
  <c r="C604" i="7" s="1"/>
  <c r="D604" i="7" s="1"/>
  <c r="B605" i="7" a="1"/>
  <c r="B605" i="7" s="1"/>
  <c r="C605" i="7" s="1"/>
  <c r="D605" i="7" s="1"/>
  <c r="B606" i="7" a="1"/>
  <c r="B606" i="7" s="1"/>
  <c r="C606" i="7" s="1"/>
  <c r="D606" i="7" s="1"/>
  <c r="B607" i="7" a="1"/>
  <c r="B607" i="7" s="1"/>
  <c r="C607" i="7" s="1"/>
  <c r="D607" i="7" s="1"/>
  <c r="B608" i="7" a="1"/>
  <c r="B608" i="7" s="1"/>
  <c r="C608" i="7" s="1"/>
  <c r="D608" i="7" s="1"/>
  <c r="B609" i="7" a="1"/>
  <c r="B609" i="7" s="1"/>
  <c r="C609" i="7" s="1"/>
  <c r="D609" i="7" s="1"/>
  <c r="B610" i="7" a="1"/>
  <c r="B610" i="7" s="1"/>
  <c r="C610" i="7" s="1"/>
  <c r="D610" i="7" s="1"/>
  <c r="B611" i="7" a="1"/>
  <c r="B611" i="7" s="1"/>
  <c r="C611" i="7" s="1"/>
  <c r="D611" i="7" s="1"/>
  <c r="B612" i="7" a="1"/>
  <c r="B612" i="7" s="1"/>
  <c r="C612" i="7" s="1"/>
  <c r="D612" i="7" s="1"/>
  <c r="B613" i="7" a="1"/>
  <c r="B613" i="7" s="1"/>
  <c r="C613" i="7" s="1"/>
  <c r="D613" i="7" s="1"/>
  <c r="B614" i="7" a="1"/>
  <c r="B614" i="7" s="1"/>
  <c r="C614" i="7" s="1"/>
  <c r="D614" i="7" s="1"/>
  <c r="B615" i="7" a="1"/>
  <c r="B615" i="7" s="1"/>
  <c r="C615" i="7" s="1"/>
  <c r="D615" i="7" s="1"/>
  <c r="B616" i="7" a="1"/>
  <c r="B616" i="7" s="1"/>
  <c r="C616" i="7" s="1"/>
  <c r="D616" i="7" s="1"/>
  <c r="B617" i="7" a="1"/>
  <c r="B617" i="7" s="1"/>
  <c r="C617" i="7" s="1"/>
  <c r="D617" i="7" s="1"/>
  <c r="B618" i="7" a="1"/>
  <c r="B618" i="7" s="1"/>
  <c r="C618" i="7" s="1"/>
  <c r="D618" i="7" s="1"/>
  <c r="B619" i="7" a="1"/>
  <c r="B619" i="7" s="1"/>
  <c r="C619" i="7" s="1"/>
  <c r="D619" i="7" s="1"/>
  <c r="B620" i="7" a="1"/>
  <c r="B620" i="7" s="1"/>
  <c r="C620" i="7" s="1"/>
  <c r="D620" i="7" s="1"/>
  <c r="B621" i="7" a="1"/>
  <c r="B621" i="7" s="1"/>
  <c r="C621" i="7" s="1"/>
  <c r="D621" i="7" s="1"/>
  <c r="B622" i="7" a="1"/>
  <c r="B622" i="7" s="1"/>
  <c r="C622" i="7" s="1"/>
  <c r="D622" i="7" s="1"/>
  <c r="B623" i="7" a="1"/>
  <c r="B623" i="7" s="1"/>
  <c r="C623" i="7" s="1"/>
  <c r="D623" i="7" s="1"/>
  <c r="B624" i="7" a="1"/>
  <c r="B624" i="7" s="1"/>
  <c r="C624" i="7" s="1"/>
  <c r="D624" i="7" s="1"/>
  <c r="B625" i="7" a="1"/>
  <c r="B625" i="7" s="1"/>
  <c r="C625" i="7" s="1"/>
  <c r="D625" i="7" s="1"/>
  <c r="B626" i="7" a="1"/>
  <c r="B626" i="7" s="1"/>
  <c r="C626" i="7" s="1"/>
  <c r="D626" i="7" s="1"/>
  <c r="B627" i="7" a="1"/>
  <c r="B627" i="7" s="1"/>
  <c r="C627" i="7" s="1"/>
  <c r="D627" i="7" s="1"/>
  <c r="B628" i="7" a="1"/>
  <c r="B628" i="7" s="1"/>
  <c r="C628" i="7" s="1"/>
  <c r="D628" i="7" s="1"/>
  <c r="B629" i="7" a="1"/>
  <c r="B629" i="7" s="1"/>
  <c r="C629" i="7" s="1"/>
  <c r="D629" i="7" s="1"/>
  <c r="B630" i="7" a="1"/>
  <c r="B630" i="7" s="1"/>
  <c r="C630" i="7" s="1"/>
  <c r="D630" i="7" s="1"/>
  <c r="B631" i="7" a="1"/>
  <c r="B631" i="7" s="1"/>
  <c r="C631" i="7" s="1"/>
  <c r="D631" i="7" s="1"/>
  <c r="B632" i="7" a="1"/>
  <c r="B632" i="7" s="1"/>
  <c r="C632" i="7" s="1"/>
  <c r="D632" i="7" s="1"/>
  <c r="B633" i="7" a="1"/>
  <c r="B633" i="7" s="1"/>
  <c r="C633" i="7" s="1"/>
  <c r="D633" i="7" s="1"/>
  <c r="B634" i="7" a="1"/>
  <c r="B634" i="7" s="1"/>
  <c r="C634" i="7" s="1"/>
  <c r="D634" i="7" s="1"/>
  <c r="B635" i="7" a="1"/>
  <c r="B635" i="7" s="1"/>
  <c r="C635" i="7" s="1"/>
  <c r="D635" i="7" s="1"/>
  <c r="B636" i="7" a="1"/>
  <c r="B636" i="7" s="1"/>
  <c r="C636" i="7" s="1"/>
  <c r="D636" i="7" s="1"/>
  <c r="B637" i="7" a="1"/>
  <c r="B637" i="7" s="1"/>
  <c r="C637" i="7" s="1"/>
  <c r="D637" i="7" s="1"/>
  <c r="B638" i="7" a="1"/>
  <c r="B638" i="7" s="1"/>
  <c r="C638" i="7" s="1"/>
  <c r="D638" i="7" s="1"/>
  <c r="B639" i="7" a="1"/>
  <c r="B639" i="7" s="1"/>
  <c r="C639" i="7" s="1"/>
  <c r="D639" i="7" s="1"/>
  <c r="B640" i="7" a="1"/>
  <c r="B640" i="7" s="1"/>
  <c r="C640" i="7" s="1"/>
  <c r="D640" i="7" s="1"/>
  <c r="B641" i="7" a="1"/>
  <c r="B641" i="7" s="1"/>
  <c r="C641" i="7" s="1"/>
  <c r="D641" i="7" s="1"/>
  <c r="B642" i="7" a="1"/>
  <c r="B642" i="7" s="1"/>
  <c r="C642" i="7" s="1"/>
  <c r="D642" i="7" s="1"/>
  <c r="B643" i="7" a="1"/>
  <c r="B643" i="7" s="1"/>
  <c r="C643" i="7" s="1"/>
  <c r="D643" i="7" s="1"/>
  <c r="B644" i="7" a="1"/>
  <c r="B644" i="7" s="1"/>
  <c r="C644" i="7" s="1"/>
  <c r="D644" i="7" s="1"/>
  <c r="B645" i="7" a="1"/>
  <c r="B645" i="7" s="1"/>
  <c r="C645" i="7" s="1"/>
  <c r="D645" i="7" s="1"/>
  <c r="B646" i="7" a="1"/>
  <c r="B646" i="7" s="1"/>
  <c r="C646" i="7" s="1"/>
  <c r="D646" i="7" s="1"/>
  <c r="B647" i="7" a="1"/>
  <c r="B647" i="7" s="1"/>
  <c r="C647" i="7" s="1"/>
  <c r="D647" i="7" s="1"/>
  <c r="B648" i="7" a="1"/>
  <c r="B648" i="7" s="1"/>
  <c r="C648" i="7" s="1"/>
  <c r="D648" i="7" s="1"/>
  <c r="B649" i="7" a="1"/>
  <c r="B649" i="7" s="1"/>
  <c r="C649" i="7" s="1"/>
  <c r="D649" i="7" s="1"/>
  <c r="B650" i="7" a="1"/>
  <c r="B650" i="7" s="1"/>
  <c r="C650" i="7" s="1"/>
  <c r="D650" i="7" s="1"/>
  <c r="B651" i="7" a="1"/>
  <c r="B651" i="7" s="1"/>
  <c r="C651" i="7" s="1"/>
  <c r="D651" i="7" s="1"/>
  <c r="B652" i="7" a="1"/>
  <c r="B652" i="7" s="1"/>
  <c r="C652" i="7" s="1"/>
  <c r="D652" i="7" s="1"/>
  <c r="B653" i="7" a="1"/>
  <c r="B653" i="7" s="1"/>
  <c r="C653" i="7" s="1"/>
  <c r="D653" i="7" s="1"/>
  <c r="B654" i="7" a="1"/>
  <c r="B654" i="7" s="1"/>
  <c r="C654" i="7" s="1"/>
  <c r="D654" i="7" s="1"/>
  <c r="B655" i="7" a="1"/>
  <c r="B655" i="7" s="1"/>
  <c r="C655" i="7" s="1"/>
  <c r="D655" i="7" s="1"/>
  <c r="B656" i="7" a="1"/>
  <c r="B656" i="7" s="1"/>
  <c r="C656" i="7" s="1"/>
  <c r="D656" i="7" s="1"/>
  <c r="B657" i="7" a="1"/>
  <c r="B657" i="7" s="1"/>
  <c r="C657" i="7" s="1"/>
  <c r="D657" i="7" s="1"/>
  <c r="B658" i="7" a="1"/>
  <c r="B658" i="7" s="1"/>
  <c r="C658" i="7" s="1"/>
  <c r="D658" i="7" s="1"/>
  <c r="B659" i="7" a="1"/>
  <c r="B659" i="7" s="1"/>
  <c r="C659" i="7" s="1"/>
  <c r="D659" i="7" s="1"/>
  <c r="B660" i="7" a="1"/>
  <c r="B660" i="7" s="1"/>
  <c r="C660" i="7" s="1"/>
  <c r="D660" i="7" s="1"/>
  <c r="B661" i="7" a="1"/>
  <c r="B661" i="7" s="1"/>
  <c r="C661" i="7" s="1"/>
  <c r="D661" i="7" s="1"/>
  <c r="B662" i="7" a="1"/>
  <c r="B662" i="7" s="1"/>
  <c r="C662" i="7" s="1"/>
  <c r="D662" i="7" s="1"/>
  <c r="B663" i="7" a="1"/>
  <c r="B663" i="7" s="1"/>
  <c r="C663" i="7" s="1"/>
  <c r="D663" i="7" s="1"/>
  <c r="B664" i="7" a="1"/>
  <c r="B664" i="7" s="1"/>
  <c r="C664" i="7" s="1"/>
  <c r="D664" i="7" s="1"/>
  <c r="B665" i="7" a="1"/>
  <c r="B665" i="7" s="1"/>
  <c r="C665" i="7" s="1"/>
  <c r="D665" i="7" s="1"/>
  <c r="B666" i="7" a="1"/>
  <c r="B666" i="7" s="1"/>
  <c r="C666" i="7" s="1"/>
  <c r="D666" i="7" s="1"/>
  <c r="B667" i="7" a="1"/>
  <c r="B667" i="7" s="1"/>
  <c r="C667" i="7" s="1"/>
  <c r="D667" i="7" s="1"/>
  <c r="B668" i="7" a="1"/>
  <c r="B668" i="7" s="1"/>
  <c r="C668" i="7" s="1"/>
  <c r="D668" i="7" s="1"/>
  <c r="B669" i="7" a="1"/>
  <c r="B669" i="7" s="1"/>
  <c r="C669" i="7" s="1"/>
  <c r="D669" i="7" s="1"/>
  <c r="B670" i="7" a="1"/>
  <c r="B670" i="7" s="1"/>
  <c r="C670" i="7" s="1"/>
  <c r="D670" i="7" s="1"/>
  <c r="B671" i="7" a="1"/>
  <c r="B671" i="7" s="1"/>
  <c r="C671" i="7" s="1"/>
  <c r="D671" i="7" s="1"/>
  <c r="B672" i="7" a="1"/>
  <c r="B672" i="7" s="1"/>
  <c r="C672" i="7" s="1"/>
  <c r="D672" i="7" s="1"/>
  <c r="B673" i="7" a="1"/>
  <c r="B673" i="7" s="1"/>
  <c r="C673" i="7" s="1"/>
  <c r="D673" i="7" s="1"/>
  <c r="B674" i="7" a="1"/>
  <c r="B674" i="7" s="1"/>
  <c r="C674" i="7" s="1"/>
  <c r="D674" i="7" s="1"/>
  <c r="B675" i="7" a="1"/>
  <c r="B675" i="7" s="1"/>
  <c r="C675" i="7" s="1"/>
  <c r="D675" i="7" s="1"/>
  <c r="B676" i="7" a="1"/>
  <c r="B676" i="7" s="1"/>
  <c r="C676" i="7" s="1"/>
  <c r="D676" i="7" s="1"/>
  <c r="B677" i="7" a="1"/>
  <c r="B677" i="7" s="1"/>
  <c r="C677" i="7" s="1"/>
  <c r="D677" i="7" s="1"/>
  <c r="B678" i="7" a="1"/>
  <c r="B678" i="7" s="1"/>
  <c r="C678" i="7" s="1"/>
  <c r="D678" i="7" s="1"/>
  <c r="B679" i="7" a="1"/>
  <c r="B679" i="7" s="1"/>
  <c r="C679" i="7" s="1"/>
  <c r="D679" i="7" s="1"/>
  <c r="B680" i="7" a="1"/>
  <c r="B680" i="7" s="1"/>
  <c r="C680" i="7" s="1"/>
  <c r="D680" i="7" s="1"/>
  <c r="B681" i="7" a="1"/>
  <c r="B681" i="7" s="1"/>
  <c r="C681" i="7" s="1"/>
  <c r="D681" i="7" s="1"/>
  <c r="B682" i="7" a="1"/>
  <c r="B682" i="7" s="1"/>
  <c r="C682" i="7" s="1"/>
  <c r="D682" i="7" s="1"/>
  <c r="B683" i="7" a="1"/>
  <c r="B683" i="7" s="1"/>
  <c r="C683" i="7" s="1"/>
  <c r="D683" i="7" s="1"/>
  <c r="B684" i="7" a="1"/>
  <c r="B684" i="7" s="1"/>
  <c r="C684" i="7" s="1"/>
  <c r="D684" i="7" s="1"/>
  <c r="B685" i="7" a="1"/>
  <c r="B685" i="7" s="1"/>
  <c r="C685" i="7" s="1"/>
  <c r="D685" i="7" s="1"/>
  <c r="B686" i="7" a="1"/>
  <c r="B686" i="7" s="1"/>
  <c r="C686" i="7" s="1"/>
  <c r="D686" i="7" s="1"/>
  <c r="B687" i="7" a="1"/>
  <c r="B687" i="7" s="1"/>
  <c r="C687" i="7" s="1"/>
  <c r="D687" i="7" s="1"/>
  <c r="B688" i="7" a="1"/>
  <c r="B688" i="7" s="1"/>
  <c r="C688" i="7" s="1"/>
  <c r="D688" i="7" s="1"/>
  <c r="B689" i="7" a="1"/>
  <c r="B689" i="7" s="1"/>
  <c r="C689" i="7" s="1"/>
  <c r="D689" i="7" s="1"/>
  <c r="B690" i="7" a="1"/>
  <c r="B690" i="7" s="1"/>
  <c r="C690" i="7" s="1"/>
  <c r="D690" i="7" s="1"/>
  <c r="B691" i="7" a="1"/>
  <c r="B691" i="7" s="1"/>
  <c r="C691" i="7" s="1"/>
  <c r="D691" i="7" s="1"/>
  <c r="B692" i="7" a="1"/>
  <c r="B692" i="7" s="1"/>
  <c r="C692" i="7" s="1"/>
  <c r="D692" i="7" s="1"/>
  <c r="B693" i="7" a="1"/>
  <c r="B693" i="7" s="1"/>
  <c r="C693" i="7" s="1"/>
  <c r="D693" i="7" s="1"/>
  <c r="B694" i="7" a="1"/>
  <c r="B694" i="7" s="1"/>
  <c r="C694" i="7" s="1"/>
  <c r="D694" i="7" s="1"/>
  <c r="B695" i="7" a="1"/>
  <c r="B695" i="7" s="1"/>
  <c r="C695" i="7" s="1"/>
  <c r="D695" i="7" s="1"/>
  <c r="B696" i="7" a="1"/>
  <c r="B696" i="7" s="1"/>
  <c r="C696" i="7" s="1"/>
  <c r="D696" i="7" s="1"/>
  <c r="B697" i="7" a="1"/>
  <c r="B697" i="7" s="1"/>
  <c r="C697" i="7" s="1"/>
  <c r="D697" i="7" s="1"/>
  <c r="B698" i="7" a="1"/>
  <c r="B698" i="7" s="1"/>
  <c r="C698" i="7" s="1"/>
  <c r="D698" i="7" s="1"/>
  <c r="B699" i="7" a="1"/>
  <c r="B699" i="7" s="1"/>
  <c r="C699" i="7" s="1"/>
  <c r="D699" i="7" s="1"/>
  <c r="B700" i="7" a="1"/>
  <c r="B700" i="7" s="1"/>
  <c r="C700" i="7" s="1"/>
  <c r="D700" i="7" s="1"/>
  <c r="B701" i="7" a="1"/>
  <c r="B701" i="7" s="1"/>
  <c r="C701" i="7" s="1"/>
  <c r="D701" i="7" s="1"/>
  <c r="B702" i="7" a="1"/>
  <c r="B702" i="7" s="1"/>
  <c r="C702" i="7" s="1"/>
  <c r="D702" i="7" s="1"/>
  <c r="B703" i="7" a="1"/>
  <c r="B703" i="7" s="1"/>
  <c r="C703" i="7" s="1"/>
  <c r="D703" i="7" s="1"/>
  <c r="B704" i="7" a="1"/>
  <c r="B704" i="7" s="1"/>
  <c r="C704" i="7" s="1"/>
  <c r="D704" i="7" s="1"/>
  <c r="B705" i="7" a="1"/>
  <c r="B705" i="7" s="1"/>
  <c r="C705" i="7" s="1"/>
  <c r="D705" i="7" s="1"/>
  <c r="B706" i="7" a="1"/>
  <c r="B706" i="7" s="1"/>
  <c r="C706" i="7" s="1"/>
  <c r="D706" i="7" s="1"/>
  <c r="B707" i="7" a="1"/>
  <c r="B707" i="7" s="1"/>
  <c r="C707" i="7" s="1"/>
  <c r="D707" i="7" s="1"/>
  <c r="B708" i="7" a="1"/>
  <c r="B708" i="7" s="1"/>
  <c r="C708" i="7" s="1"/>
  <c r="D708" i="7" s="1"/>
  <c r="B709" i="7" a="1"/>
  <c r="B709" i="7" s="1"/>
  <c r="C709" i="7" s="1"/>
  <c r="D709" i="7" s="1"/>
  <c r="B710" i="7" a="1"/>
  <c r="B710" i="7" s="1"/>
  <c r="C710" i="7" s="1"/>
  <c r="D710" i="7" s="1"/>
  <c r="B711" i="7" a="1"/>
  <c r="B711" i="7" s="1"/>
  <c r="C711" i="7" s="1"/>
  <c r="D711" i="7" s="1"/>
  <c r="B712" i="7" a="1"/>
  <c r="B712" i="7" s="1"/>
  <c r="C712" i="7" s="1"/>
  <c r="D712" i="7" s="1"/>
  <c r="B713" i="7" a="1"/>
  <c r="B713" i="7" s="1"/>
  <c r="C713" i="7" s="1"/>
  <c r="D713" i="7" s="1"/>
  <c r="B714" i="7" a="1"/>
  <c r="B714" i="7" s="1"/>
  <c r="C714" i="7" s="1"/>
  <c r="D714" i="7" s="1"/>
  <c r="B715" i="7" a="1"/>
  <c r="B715" i="7" s="1"/>
  <c r="C715" i="7" s="1"/>
  <c r="D715" i="7" s="1"/>
  <c r="B716" i="7" a="1"/>
  <c r="B716" i="7" s="1"/>
  <c r="C716" i="7" s="1"/>
  <c r="D716" i="7" s="1"/>
  <c r="B717" i="7" a="1"/>
  <c r="B717" i="7" s="1"/>
  <c r="C717" i="7" s="1"/>
  <c r="D717" i="7" s="1"/>
  <c r="B718" i="7" a="1"/>
  <c r="B718" i="7" s="1"/>
  <c r="C718" i="7" s="1"/>
  <c r="D718" i="7" s="1"/>
  <c r="B719" i="7" a="1"/>
  <c r="B719" i="7" s="1"/>
  <c r="C719" i="7" s="1"/>
  <c r="D719" i="7" s="1"/>
  <c r="B720" i="7" a="1"/>
  <c r="B720" i="7" s="1"/>
  <c r="C720" i="7" s="1"/>
  <c r="D720" i="7" s="1"/>
  <c r="B721" i="7" a="1"/>
  <c r="B721" i="7" s="1"/>
  <c r="C721" i="7" s="1"/>
  <c r="D721" i="7" s="1"/>
  <c r="B722" i="7" a="1"/>
  <c r="B722" i="7" s="1"/>
  <c r="C722" i="7" s="1"/>
  <c r="D722" i="7" s="1"/>
  <c r="B723" i="7" a="1"/>
  <c r="B723" i="7" s="1"/>
  <c r="C723" i="7" s="1"/>
  <c r="D723" i="7" s="1"/>
  <c r="B724" i="7" a="1"/>
  <c r="B724" i="7" s="1"/>
  <c r="C724" i="7" s="1"/>
  <c r="D724" i="7" s="1"/>
  <c r="B725" i="7" a="1"/>
  <c r="B725" i="7" s="1"/>
  <c r="C725" i="7" s="1"/>
  <c r="D725" i="7" s="1"/>
  <c r="B726" i="7" a="1"/>
  <c r="B726" i="7" s="1"/>
  <c r="C726" i="7" s="1"/>
  <c r="D726" i="7" s="1"/>
  <c r="B727" i="7" a="1"/>
  <c r="B727" i="7" s="1"/>
  <c r="C727" i="7" s="1"/>
  <c r="D727" i="7" s="1"/>
  <c r="B728" i="7" a="1"/>
  <c r="B728" i="7" s="1"/>
  <c r="C728" i="7" s="1"/>
  <c r="D728" i="7" s="1"/>
  <c r="B729" i="7" a="1"/>
  <c r="B729" i="7" s="1"/>
  <c r="C729" i="7" s="1"/>
  <c r="D729" i="7" s="1"/>
  <c r="B730" i="7" a="1"/>
  <c r="B730" i="7" s="1"/>
  <c r="C730" i="7" s="1"/>
  <c r="D730" i="7" s="1"/>
  <c r="B731" i="7" a="1"/>
  <c r="B731" i="7" s="1"/>
  <c r="C731" i="7" s="1"/>
  <c r="D731" i="7" s="1"/>
  <c r="B732" i="7" a="1"/>
  <c r="B732" i="7" s="1"/>
  <c r="C732" i="7" s="1"/>
  <c r="D732" i="7" s="1"/>
  <c r="B733" i="7" a="1"/>
  <c r="B733" i="7" s="1"/>
  <c r="C733" i="7" s="1"/>
  <c r="D733" i="7" s="1"/>
  <c r="B734" i="7" a="1"/>
  <c r="B734" i="7" s="1"/>
  <c r="C734" i="7" s="1"/>
  <c r="D734" i="7" s="1"/>
  <c r="B735" i="7" a="1"/>
  <c r="B735" i="7" s="1"/>
  <c r="C735" i="7" s="1"/>
  <c r="D735" i="7" s="1"/>
  <c r="B736" i="7" a="1"/>
  <c r="B736" i="7" s="1"/>
  <c r="C736" i="7" s="1"/>
  <c r="D736" i="7" s="1"/>
  <c r="B737" i="7" a="1"/>
  <c r="B737" i="7" s="1"/>
  <c r="C737" i="7" s="1"/>
  <c r="D737" i="7" s="1"/>
  <c r="B738" i="7" a="1"/>
  <c r="B738" i="7" s="1"/>
  <c r="C738" i="7" s="1"/>
  <c r="D738" i="7" s="1"/>
  <c r="B739" i="7" a="1"/>
  <c r="B739" i="7" s="1"/>
  <c r="C739" i="7" s="1"/>
  <c r="D739" i="7" s="1"/>
  <c r="B740" i="7" a="1"/>
  <c r="B740" i="7" s="1"/>
  <c r="C740" i="7" s="1"/>
  <c r="D740" i="7" s="1"/>
  <c r="B741" i="7" a="1"/>
  <c r="B741" i="7" s="1"/>
  <c r="C741" i="7" s="1"/>
  <c r="D741" i="7" s="1"/>
  <c r="B742" i="7" a="1"/>
  <c r="B742" i="7" s="1"/>
  <c r="C742" i="7" s="1"/>
  <c r="D742" i="7" s="1"/>
  <c r="B743" i="7" a="1"/>
  <c r="B743" i="7" s="1"/>
  <c r="C743" i="7" s="1"/>
  <c r="D743" i="7" s="1"/>
  <c r="B744" i="7" a="1"/>
  <c r="B744" i="7" s="1"/>
  <c r="C744" i="7" s="1"/>
  <c r="D744" i="7" s="1"/>
  <c r="B745" i="7" a="1"/>
  <c r="B745" i="7" s="1"/>
  <c r="C745" i="7" s="1"/>
  <c r="D745" i="7" s="1"/>
  <c r="B746" i="7" a="1"/>
  <c r="B746" i="7" s="1"/>
  <c r="C746" i="7" s="1"/>
  <c r="D746" i="7" s="1"/>
  <c r="B747" i="7" a="1"/>
  <c r="B747" i="7" s="1"/>
  <c r="C747" i="7" s="1"/>
  <c r="D747" i="7" s="1"/>
  <c r="B748" i="7" a="1"/>
  <c r="B748" i="7" s="1"/>
  <c r="C748" i="7" s="1"/>
  <c r="D748" i="7" s="1"/>
  <c r="B749" i="7" a="1"/>
  <c r="B749" i="7" s="1"/>
  <c r="C749" i="7" s="1"/>
  <c r="D749" i="7" s="1"/>
  <c r="B750" i="7" a="1"/>
  <c r="B750" i="7" s="1"/>
  <c r="C750" i="7" s="1"/>
  <c r="D750" i="7" s="1"/>
  <c r="B751" i="7" a="1"/>
  <c r="B751" i="7" s="1"/>
  <c r="C751" i="7" s="1"/>
  <c r="D751" i="7" s="1"/>
  <c r="B752" i="7" a="1"/>
  <c r="B752" i="7" s="1"/>
  <c r="C752" i="7" s="1"/>
  <c r="D752" i="7" s="1"/>
  <c r="B753" i="7" a="1"/>
  <c r="B753" i="7" s="1"/>
  <c r="C753" i="7" s="1"/>
  <c r="D753" i="7" s="1"/>
  <c r="B754" i="7" a="1"/>
  <c r="B754" i="7" s="1"/>
  <c r="C754" i="7" s="1"/>
  <c r="D754" i="7" s="1"/>
  <c r="B755" i="7" a="1"/>
  <c r="B755" i="7" s="1"/>
  <c r="C755" i="7" s="1"/>
  <c r="D755" i="7" s="1"/>
  <c r="B756" i="7" a="1"/>
  <c r="B756" i="7" s="1"/>
  <c r="C756" i="7" s="1"/>
  <c r="D756" i="7" s="1"/>
  <c r="B757" i="7" a="1"/>
  <c r="B757" i="7" s="1"/>
  <c r="C757" i="7" s="1"/>
  <c r="D757" i="7" s="1"/>
  <c r="B758" i="7" a="1"/>
  <c r="B758" i="7" s="1"/>
  <c r="C758" i="7" s="1"/>
  <c r="D758" i="7" s="1"/>
  <c r="B759" i="7" a="1"/>
  <c r="B759" i="7" s="1"/>
  <c r="C759" i="7" s="1"/>
  <c r="D759" i="7" s="1"/>
  <c r="B760" i="7" a="1"/>
  <c r="B760" i="7" s="1"/>
  <c r="C760" i="7" s="1"/>
  <c r="D760" i="7" s="1"/>
  <c r="B761" i="7" a="1"/>
  <c r="B761" i="7" s="1"/>
  <c r="C761" i="7" s="1"/>
  <c r="D761" i="7" s="1"/>
  <c r="B762" i="7" a="1"/>
  <c r="B762" i="7" s="1"/>
  <c r="C762" i="7" s="1"/>
  <c r="D762" i="7" s="1"/>
  <c r="B763" i="7" a="1"/>
  <c r="B763" i="7" s="1"/>
  <c r="C763" i="7" s="1"/>
  <c r="D763" i="7" s="1"/>
  <c r="B764" i="7" a="1"/>
  <c r="B764" i="7" s="1"/>
  <c r="C764" i="7" s="1"/>
  <c r="D764" i="7" s="1"/>
  <c r="B765" i="7" a="1"/>
  <c r="B765" i="7" s="1"/>
  <c r="C765" i="7" s="1"/>
  <c r="D765" i="7" s="1"/>
  <c r="B766" i="7" a="1"/>
  <c r="B766" i="7" s="1"/>
  <c r="C766" i="7" s="1"/>
  <c r="D766" i="7" s="1"/>
  <c r="B767" i="7" a="1"/>
  <c r="B767" i="7" s="1"/>
  <c r="C767" i="7" s="1"/>
  <c r="D767" i="7" s="1"/>
  <c r="B768" i="7" a="1"/>
  <c r="B768" i="7" s="1"/>
  <c r="C768" i="7" s="1"/>
  <c r="D768" i="7" s="1"/>
  <c r="B769" i="7" a="1"/>
  <c r="B769" i="7" s="1"/>
  <c r="C769" i="7" s="1"/>
  <c r="D769" i="7" s="1"/>
  <c r="B770" i="7" a="1"/>
  <c r="B770" i="7" s="1"/>
  <c r="C770" i="7" s="1"/>
  <c r="D770" i="7" s="1"/>
  <c r="B771" i="7" a="1"/>
  <c r="B771" i="7" s="1"/>
  <c r="C771" i="7" s="1"/>
  <c r="D771" i="7" s="1"/>
  <c r="B772" i="7" a="1"/>
  <c r="B772" i="7" s="1"/>
  <c r="C772" i="7" s="1"/>
  <c r="D772" i="7" s="1"/>
  <c r="B773" i="7" a="1"/>
  <c r="B773" i="7" s="1"/>
  <c r="C773" i="7" s="1"/>
  <c r="D773" i="7" s="1"/>
  <c r="B774" i="7" a="1"/>
  <c r="B774" i="7" s="1"/>
  <c r="C774" i="7" s="1"/>
  <c r="D774" i="7" s="1"/>
  <c r="B775" i="7" a="1"/>
  <c r="B775" i="7" s="1"/>
  <c r="C775" i="7" s="1"/>
  <c r="D775" i="7" s="1"/>
  <c r="B776" i="7" a="1"/>
  <c r="B776" i="7" s="1"/>
  <c r="C776" i="7" s="1"/>
  <c r="D776" i="7" s="1"/>
  <c r="B777" i="7" a="1"/>
  <c r="B777" i="7" s="1"/>
  <c r="C777" i="7" s="1"/>
  <c r="D777" i="7" s="1"/>
  <c r="B778" i="7" a="1"/>
  <c r="B778" i="7" s="1"/>
  <c r="C778" i="7" s="1"/>
  <c r="D778" i="7" s="1"/>
  <c r="B779" i="7" a="1"/>
  <c r="B779" i="7" s="1"/>
  <c r="C779" i="7" s="1"/>
  <c r="D779" i="7" s="1"/>
  <c r="B780" i="7" a="1"/>
  <c r="B780" i="7" s="1"/>
  <c r="C780" i="7" s="1"/>
  <c r="D780" i="7" s="1"/>
  <c r="B781" i="7" a="1"/>
  <c r="B781" i="7" s="1"/>
  <c r="C781" i="7" s="1"/>
  <c r="D781" i="7" s="1"/>
  <c r="B782" i="7" a="1"/>
  <c r="B782" i="7" s="1"/>
  <c r="C782" i="7" s="1"/>
  <c r="D782" i="7" s="1"/>
  <c r="B783" i="7" a="1"/>
  <c r="B783" i="7" s="1"/>
  <c r="C783" i="7" s="1"/>
  <c r="D783" i="7" s="1"/>
  <c r="B784" i="7" a="1"/>
  <c r="B784" i="7" s="1"/>
  <c r="C784" i="7" s="1"/>
  <c r="D784" i="7" s="1"/>
  <c r="B785" i="7" a="1"/>
  <c r="B785" i="7" s="1"/>
  <c r="C785" i="7" s="1"/>
  <c r="D785" i="7" s="1"/>
  <c r="B786" i="7" a="1"/>
  <c r="B786" i="7" s="1"/>
  <c r="C786" i="7" s="1"/>
  <c r="D786" i="7" s="1"/>
  <c r="B787" i="7" a="1"/>
  <c r="B787" i="7" s="1"/>
  <c r="C787" i="7" s="1"/>
  <c r="D787" i="7" s="1"/>
  <c r="B788" i="7" a="1"/>
  <c r="B788" i="7" s="1"/>
  <c r="C788" i="7" s="1"/>
  <c r="D788" i="7" s="1"/>
  <c r="B789" i="7" a="1"/>
  <c r="B789" i="7" s="1"/>
  <c r="C789" i="7" s="1"/>
  <c r="D789" i="7" s="1"/>
  <c r="B790" i="7" a="1"/>
  <c r="B790" i="7" s="1"/>
  <c r="C790" i="7" s="1"/>
  <c r="D790" i="7" s="1"/>
  <c r="B791" i="7" a="1"/>
  <c r="B791" i="7" s="1"/>
  <c r="C791" i="7" s="1"/>
  <c r="D791" i="7" s="1"/>
  <c r="B792" i="7" a="1"/>
  <c r="B792" i="7" s="1"/>
  <c r="C792" i="7" s="1"/>
  <c r="D792" i="7" s="1"/>
  <c r="B793" i="7" a="1"/>
  <c r="B793" i="7" s="1"/>
  <c r="C793" i="7" s="1"/>
  <c r="D793" i="7" s="1"/>
  <c r="B794" i="7" a="1"/>
  <c r="B794" i="7" s="1"/>
  <c r="C794" i="7" s="1"/>
  <c r="D794" i="7" s="1"/>
  <c r="B795" i="7" a="1"/>
  <c r="B795" i="7" s="1"/>
  <c r="C795" i="7" s="1"/>
  <c r="D795" i="7" s="1"/>
  <c r="B796" i="7" a="1"/>
  <c r="B796" i="7" s="1"/>
  <c r="C796" i="7" s="1"/>
  <c r="D796" i="7" s="1"/>
  <c r="B797" i="7" a="1"/>
  <c r="B797" i="7" s="1"/>
  <c r="C797" i="7" s="1"/>
  <c r="D797" i="7" s="1"/>
  <c r="B798" i="7" a="1"/>
  <c r="B798" i="7" s="1"/>
  <c r="C798" i="7" s="1"/>
  <c r="D798" i="7" s="1"/>
  <c r="B799" i="7" a="1"/>
  <c r="B799" i="7" s="1"/>
  <c r="C799" i="7" s="1"/>
  <c r="D799" i="7" s="1"/>
  <c r="B800" i="7" a="1"/>
  <c r="B800" i="7" s="1"/>
  <c r="C800" i="7" s="1"/>
  <c r="D800" i="7" s="1"/>
  <c r="B801" i="7" a="1"/>
  <c r="B801" i="7" s="1"/>
  <c r="C801" i="7" s="1"/>
  <c r="D801" i="7" s="1"/>
  <c r="B802" i="7" a="1"/>
  <c r="B802" i="7" s="1"/>
  <c r="C802" i="7" s="1"/>
  <c r="D802" i="7" s="1"/>
  <c r="B803" i="7" a="1"/>
  <c r="B803" i="7" s="1"/>
  <c r="C803" i="7" s="1"/>
  <c r="D803" i="7" s="1"/>
  <c r="B804" i="7" a="1"/>
  <c r="B804" i="7" s="1"/>
  <c r="C804" i="7" s="1"/>
  <c r="D804" i="7" s="1"/>
  <c r="B805" i="7" a="1"/>
  <c r="B805" i="7" s="1"/>
  <c r="C805" i="7" s="1"/>
  <c r="D805" i="7" s="1"/>
  <c r="B806" i="7" a="1"/>
  <c r="B806" i="7" s="1"/>
  <c r="C806" i="7" s="1"/>
  <c r="D806" i="7" s="1"/>
  <c r="B807" i="7" a="1"/>
  <c r="B807" i="7" s="1"/>
  <c r="C807" i="7" s="1"/>
  <c r="D807" i="7" s="1"/>
  <c r="B808" i="7" a="1"/>
  <c r="B808" i="7" s="1"/>
  <c r="C808" i="7" s="1"/>
  <c r="D808" i="7" s="1"/>
  <c r="B809" i="7" a="1"/>
  <c r="B809" i="7" s="1"/>
  <c r="C809" i="7" s="1"/>
  <c r="D809" i="7" s="1"/>
  <c r="B810" i="7" a="1"/>
  <c r="B810" i="7" s="1"/>
  <c r="C810" i="7" s="1"/>
  <c r="D810" i="7" s="1"/>
  <c r="B811" i="7" a="1"/>
  <c r="B811" i="7" s="1"/>
  <c r="C811" i="7" s="1"/>
  <c r="D811" i="7" s="1"/>
  <c r="B812" i="7" a="1"/>
  <c r="B812" i="7" s="1"/>
  <c r="C812" i="7" s="1"/>
  <c r="D812" i="7" s="1"/>
  <c r="B813" i="7" a="1"/>
  <c r="B813" i="7" s="1"/>
  <c r="C813" i="7" s="1"/>
  <c r="D813" i="7" s="1"/>
  <c r="B814" i="7" a="1"/>
  <c r="B814" i="7" s="1"/>
  <c r="C814" i="7" s="1"/>
  <c r="D814" i="7" s="1"/>
  <c r="B815" i="7" a="1"/>
  <c r="B815" i="7" s="1"/>
  <c r="C815" i="7" s="1"/>
  <c r="D815" i="7" s="1"/>
  <c r="B816" i="7" a="1"/>
  <c r="B816" i="7" s="1"/>
  <c r="C816" i="7" s="1"/>
  <c r="D816" i="7" s="1"/>
  <c r="B817" i="7" a="1"/>
  <c r="B817" i="7" s="1"/>
  <c r="C817" i="7" s="1"/>
  <c r="D817" i="7" s="1"/>
  <c r="B818" i="7" a="1"/>
  <c r="B818" i="7" s="1"/>
  <c r="C818" i="7" s="1"/>
  <c r="D818" i="7" s="1"/>
  <c r="B819" i="7" a="1"/>
  <c r="B819" i="7" s="1"/>
  <c r="C819" i="7" s="1"/>
  <c r="D819" i="7" s="1"/>
  <c r="B820" i="7" a="1"/>
  <c r="B820" i="7" s="1"/>
  <c r="C820" i="7" s="1"/>
  <c r="D820" i="7" s="1"/>
  <c r="B821" i="7" a="1"/>
  <c r="B821" i="7" s="1"/>
  <c r="C821" i="7" s="1"/>
  <c r="D821" i="7" s="1"/>
  <c r="B822" i="7" a="1"/>
  <c r="B822" i="7" s="1"/>
  <c r="C822" i="7" s="1"/>
  <c r="D822" i="7" s="1"/>
  <c r="B823" i="7" a="1"/>
  <c r="B823" i="7" s="1"/>
  <c r="C823" i="7" s="1"/>
  <c r="D823" i="7" s="1"/>
  <c r="B824" i="7" a="1"/>
  <c r="B824" i="7" s="1"/>
  <c r="C824" i="7" s="1"/>
  <c r="D824" i="7" s="1"/>
  <c r="B825" i="7" a="1"/>
  <c r="B825" i="7" s="1"/>
  <c r="C825" i="7" s="1"/>
  <c r="D825" i="7" s="1"/>
  <c r="B826" i="7" a="1"/>
  <c r="B826" i="7" s="1"/>
  <c r="C826" i="7" s="1"/>
  <c r="D826" i="7" s="1"/>
  <c r="B827" i="7" a="1"/>
  <c r="B827" i="7" s="1"/>
  <c r="C827" i="7" s="1"/>
  <c r="D827" i="7" s="1"/>
  <c r="B828" i="7" a="1"/>
  <c r="B828" i="7" s="1"/>
  <c r="C828" i="7" s="1"/>
  <c r="D828" i="7" s="1"/>
  <c r="B829" i="7" a="1"/>
  <c r="B829" i="7" s="1"/>
  <c r="C829" i="7" s="1"/>
  <c r="D829" i="7" s="1"/>
  <c r="B830" i="7" a="1"/>
  <c r="B830" i="7" s="1"/>
  <c r="C830" i="7" s="1"/>
  <c r="D830" i="7" s="1"/>
  <c r="B831" i="7" a="1"/>
  <c r="B831" i="7" s="1"/>
  <c r="C831" i="7" s="1"/>
  <c r="D831" i="7" s="1"/>
  <c r="B832" i="7" a="1"/>
  <c r="B832" i="7" s="1"/>
  <c r="C832" i="7" s="1"/>
  <c r="D832" i="7" s="1"/>
  <c r="B833" i="7" a="1"/>
  <c r="B833" i="7" s="1"/>
  <c r="C833" i="7" s="1"/>
  <c r="D833" i="7" s="1"/>
  <c r="B834" i="7" a="1"/>
  <c r="B834" i="7" s="1"/>
  <c r="C834" i="7" s="1"/>
  <c r="D834" i="7" s="1"/>
  <c r="B835" i="7" a="1"/>
  <c r="B835" i="7" s="1"/>
  <c r="C835" i="7" s="1"/>
  <c r="D835" i="7" s="1"/>
  <c r="B836" i="7" a="1"/>
  <c r="B836" i="7" s="1"/>
  <c r="C836" i="7" s="1"/>
  <c r="D836" i="7" s="1"/>
  <c r="B837" i="7" a="1"/>
  <c r="B837" i="7" s="1"/>
  <c r="C837" i="7" s="1"/>
  <c r="D837" i="7" s="1"/>
  <c r="B838" i="7" a="1"/>
  <c r="B838" i="7" s="1"/>
  <c r="C838" i="7" s="1"/>
  <c r="D838" i="7" s="1"/>
  <c r="B839" i="7" a="1"/>
  <c r="B839" i="7" s="1"/>
  <c r="C839" i="7" s="1"/>
  <c r="D839" i="7" s="1"/>
  <c r="B840" i="7" a="1"/>
  <c r="B840" i="7" s="1"/>
  <c r="C840" i="7" s="1"/>
  <c r="D840" i="7" s="1"/>
  <c r="B841" i="7" a="1"/>
  <c r="B841" i="7" s="1"/>
  <c r="C841" i="7" s="1"/>
  <c r="D841" i="7" s="1"/>
  <c r="B842" i="7" a="1"/>
  <c r="B842" i="7" s="1"/>
  <c r="C842" i="7" s="1"/>
  <c r="D842" i="7" s="1"/>
  <c r="B843" i="7" a="1"/>
  <c r="B843" i="7" s="1"/>
  <c r="C843" i="7" s="1"/>
  <c r="D843" i="7" s="1"/>
  <c r="B844" i="7" a="1"/>
  <c r="B844" i="7" s="1"/>
  <c r="C844" i="7" s="1"/>
  <c r="D844" i="7" s="1"/>
  <c r="B845" i="7" a="1"/>
  <c r="B845" i="7" s="1"/>
  <c r="C845" i="7" s="1"/>
  <c r="D845" i="7" s="1"/>
  <c r="B846" i="7" a="1"/>
  <c r="B846" i="7" s="1"/>
  <c r="C846" i="7" s="1"/>
  <c r="D846" i="7" s="1"/>
  <c r="B847" i="7" a="1"/>
  <c r="B847" i="7" s="1"/>
  <c r="C847" i="7" s="1"/>
  <c r="D847" i="7" s="1"/>
  <c r="B848" i="7" a="1"/>
  <c r="B848" i="7" s="1"/>
  <c r="C848" i="7" s="1"/>
  <c r="D848" i="7" s="1"/>
  <c r="B849" i="7" a="1"/>
  <c r="B849" i="7" s="1"/>
  <c r="C849" i="7" s="1"/>
  <c r="D849" i="7" s="1"/>
  <c r="B850" i="7" a="1"/>
  <c r="B850" i="7" s="1"/>
  <c r="C850" i="7" s="1"/>
  <c r="D850" i="7" s="1"/>
  <c r="B851" i="7" a="1"/>
  <c r="B851" i="7" s="1"/>
  <c r="C851" i="7" s="1"/>
  <c r="D851" i="7" s="1"/>
  <c r="B852" i="7" a="1"/>
  <c r="B852" i="7" s="1"/>
  <c r="C852" i="7" s="1"/>
  <c r="D852" i="7" s="1"/>
  <c r="B853" i="7" a="1"/>
  <c r="B853" i="7" s="1"/>
  <c r="C853" i="7" s="1"/>
  <c r="D853" i="7" s="1"/>
  <c r="B854" i="7" a="1"/>
  <c r="B854" i="7" s="1"/>
  <c r="C854" i="7" s="1"/>
  <c r="D854" i="7" s="1"/>
  <c r="B855" i="7" a="1"/>
  <c r="B855" i="7" s="1"/>
  <c r="C855" i="7" s="1"/>
  <c r="D855" i="7" s="1"/>
  <c r="B856" i="7" a="1"/>
  <c r="B856" i="7" s="1"/>
  <c r="C856" i="7" s="1"/>
  <c r="D856" i="7" s="1"/>
  <c r="B857" i="7" a="1"/>
  <c r="B857" i="7" s="1"/>
  <c r="C857" i="7" s="1"/>
  <c r="D857" i="7" s="1"/>
  <c r="B858" i="7" a="1"/>
  <c r="B858" i="7" s="1"/>
  <c r="C858" i="7" s="1"/>
  <c r="D858" i="7" s="1"/>
  <c r="B859" i="7" a="1"/>
  <c r="B859" i="7" s="1"/>
  <c r="C859" i="7" s="1"/>
  <c r="D859" i="7" s="1"/>
  <c r="B860" i="7" a="1"/>
  <c r="B860" i="7" s="1"/>
  <c r="C860" i="7" s="1"/>
  <c r="D860" i="7" s="1"/>
  <c r="B861" i="7" a="1"/>
  <c r="B861" i="7" s="1"/>
  <c r="C861" i="7" s="1"/>
  <c r="D861" i="7" s="1"/>
  <c r="B862" i="7" a="1"/>
  <c r="B862" i="7" s="1"/>
  <c r="C862" i="7" s="1"/>
  <c r="D862" i="7" s="1"/>
  <c r="B863" i="7" a="1"/>
  <c r="B863" i="7" s="1"/>
  <c r="C863" i="7" s="1"/>
  <c r="D863" i="7" s="1"/>
  <c r="B864" i="7" a="1"/>
  <c r="B864" i="7" s="1"/>
  <c r="C864" i="7" s="1"/>
  <c r="D864" i="7" s="1"/>
  <c r="B865" i="7" a="1"/>
  <c r="B865" i="7" s="1"/>
  <c r="C865" i="7" s="1"/>
  <c r="D865" i="7" s="1"/>
  <c r="B866" i="7" a="1"/>
  <c r="B866" i="7" s="1"/>
  <c r="C866" i="7" s="1"/>
  <c r="D866" i="7" s="1"/>
  <c r="B867" i="7" a="1"/>
  <c r="B867" i="7" s="1"/>
  <c r="C867" i="7" s="1"/>
  <c r="D867" i="7" s="1"/>
  <c r="B868" i="7" a="1"/>
  <c r="B868" i="7" s="1"/>
  <c r="C868" i="7" s="1"/>
  <c r="D868" i="7" s="1"/>
  <c r="B869" i="7" a="1"/>
  <c r="B869" i="7" s="1"/>
  <c r="C869" i="7" s="1"/>
  <c r="D869" i="7" s="1"/>
  <c r="B870" i="7" a="1"/>
  <c r="B870" i="7" s="1"/>
  <c r="C870" i="7" s="1"/>
  <c r="D870" i="7" s="1"/>
  <c r="B871" i="7" a="1"/>
  <c r="B871" i="7" s="1"/>
  <c r="C871" i="7" s="1"/>
  <c r="D871" i="7" s="1"/>
  <c r="B872" i="7" a="1"/>
  <c r="B872" i="7" s="1"/>
  <c r="C872" i="7" s="1"/>
  <c r="D872" i="7" s="1"/>
  <c r="B873" i="7" a="1"/>
  <c r="B873" i="7" s="1"/>
  <c r="C873" i="7" s="1"/>
  <c r="D873" i="7" s="1"/>
  <c r="B874" i="7" a="1"/>
  <c r="B874" i="7" s="1"/>
  <c r="C874" i="7" s="1"/>
  <c r="D874" i="7" s="1"/>
  <c r="B875" i="7" a="1"/>
  <c r="B875" i="7" s="1"/>
  <c r="C875" i="7" s="1"/>
  <c r="D875" i="7" s="1"/>
  <c r="B876" i="7" a="1"/>
  <c r="B876" i="7" s="1"/>
  <c r="C876" i="7" s="1"/>
  <c r="D876" i="7" s="1"/>
  <c r="B877" i="7" a="1"/>
  <c r="B877" i="7" s="1"/>
  <c r="C877" i="7" s="1"/>
  <c r="D877" i="7" s="1"/>
  <c r="B878" i="7" a="1"/>
  <c r="B878" i="7" s="1"/>
  <c r="C878" i="7" s="1"/>
  <c r="D878" i="7" s="1"/>
  <c r="B879" i="7" a="1"/>
  <c r="B879" i="7" s="1"/>
  <c r="C879" i="7" s="1"/>
  <c r="D879" i="7" s="1"/>
  <c r="B880" i="7" a="1"/>
  <c r="B880" i="7" s="1"/>
  <c r="C880" i="7" s="1"/>
  <c r="D880" i="7" s="1"/>
  <c r="B881" i="7" a="1"/>
  <c r="B881" i="7" s="1"/>
  <c r="C881" i="7" s="1"/>
  <c r="D881" i="7" s="1"/>
  <c r="B882" i="7" a="1"/>
  <c r="B882" i="7" s="1"/>
  <c r="C882" i="7" s="1"/>
  <c r="D882" i="7" s="1"/>
  <c r="B883" i="7" a="1"/>
  <c r="B883" i="7" s="1"/>
  <c r="C883" i="7" s="1"/>
  <c r="D883" i="7" s="1"/>
  <c r="B884" i="7" a="1"/>
  <c r="B884" i="7" s="1"/>
  <c r="C884" i="7" s="1"/>
  <c r="D884" i="7" s="1"/>
  <c r="B885" i="7" a="1"/>
  <c r="B885" i="7" s="1"/>
  <c r="C885" i="7" s="1"/>
  <c r="D885" i="7" s="1"/>
  <c r="B886" i="7" a="1"/>
  <c r="B886" i="7" s="1"/>
  <c r="C886" i="7" s="1"/>
  <c r="D886" i="7" s="1"/>
  <c r="B887" i="7" a="1"/>
  <c r="B887" i="7" s="1"/>
  <c r="C887" i="7" s="1"/>
  <c r="D887" i="7" s="1"/>
  <c r="B888" i="7" a="1"/>
  <c r="B888" i="7" s="1"/>
  <c r="C888" i="7" s="1"/>
  <c r="D888" i="7" s="1"/>
  <c r="B889" i="7" a="1"/>
  <c r="B889" i="7" s="1"/>
  <c r="C889" i="7" s="1"/>
  <c r="D889" i="7" s="1"/>
  <c r="B890" i="7" a="1"/>
  <c r="B890" i="7" s="1"/>
  <c r="C890" i="7" s="1"/>
  <c r="D890" i="7" s="1"/>
  <c r="B891" i="7" a="1"/>
  <c r="B891" i="7" s="1"/>
  <c r="C891" i="7" s="1"/>
  <c r="D891" i="7" s="1"/>
  <c r="B892" i="7" a="1"/>
  <c r="B892" i="7" s="1"/>
  <c r="C892" i="7" s="1"/>
  <c r="D892" i="7" s="1"/>
  <c r="B893" i="7" a="1"/>
  <c r="B893" i="7" s="1"/>
  <c r="C893" i="7" s="1"/>
  <c r="D893" i="7" s="1"/>
  <c r="B894" i="7" a="1"/>
  <c r="B894" i="7" s="1"/>
  <c r="C894" i="7" s="1"/>
  <c r="D894" i="7" s="1"/>
  <c r="B895" i="7" a="1"/>
  <c r="B895" i="7" s="1"/>
  <c r="C895" i="7" s="1"/>
  <c r="D895" i="7" s="1"/>
  <c r="B896" i="7" a="1"/>
  <c r="B896" i="7" s="1"/>
  <c r="C896" i="7" s="1"/>
  <c r="D896" i="7" s="1"/>
  <c r="B897" i="7" a="1"/>
  <c r="B897" i="7" s="1"/>
  <c r="C897" i="7" s="1"/>
  <c r="D897" i="7" s="1"/>
  <c r="B898" i="7" a="1"/>
  <c r="B898" i="7" s="1"/>
  <c r="C898" i="7" s="1"/>
  <c r="D898" i="7" s="1"/>
  <c r="B899" i="7" a="1"/>
  <c r="B899" i="7" s="1"/>
  <c r="C899" i="7" s="1"/>
  <c r="D899" i="7" s="1"/>
  <c r="B900" i="7" a="1"/>
  <c r="B900" i="7" s="1"/>
  <c r="C900" i="7" s="1"/>
  <c r="D900" i="7" s="1"/>
  <c r="B901" i="7" a="1"/>
  <c r="B901" i="7" s="1"/>
  <c r="C901" i="7" s="1"/>
  <c r="D901" i="7" s="1"/>
  <c r="B902" i="7" a="1"/>
  <c r="B902" i="7" s="1"/>
  <c r="C902" i="7" s="1"/>
  <c r="D902" i="7" s="1"/>
  <c r="B903" i="7" a="1"/>
  <c r="B903" i="7" s="1"/>
  <c r="C903" i="7" s="1"/>
  <c r="D903" i="7" s="1"/>
  <c r="B904" i="7" a="1"/>
  <c r="B904" i="7" s="1"/>
  <c r="C904" i="7" s="1"/>
  <c r="D904" i="7" s="1"/>
  <c r="B905" i="7" a="1"/>
  <c r="B905" i="7" s="1"/>
  <c r="C905" i="7" s="1"/>
  <c r="D905" i="7" s="1"/>
  <c r="B906" i="7" a="1"/>
  <c r="B906" i="7" s="1"/>
  <c r="C906" i="7" s="1"/>
  <c r="D906" i="7" s="1"/>
  <c r="B907" i="7" a="1"/>
  <c r="B907" i="7" s="1"/>
  <c r="C907" i="7" s="1"/>
  <c r="D907" i="7" s="1"/>
  <c r="B908" i="7" a="1"/>
  <c r="B908" i="7" s="1"/>
  <c r="C908" i="7" s="1"/>
  <c r="D908" i="7" s="1"/>
  <c r="B909" i="7" a="1"/>
  <c r="B909" i="7" s="1"/>
  <c r="C909" i="7" s="1"/>
  <c r="D909" i="7" s="1"/>
  <c r="B910" i="7" a="1"/>
  <c r="B910" i="7" s="1"/>
  <c r="C910" i="7" s="1"/>
  <c r="D910" i="7" s="1"/>
  <c r="B911" i="7" a="1"/>
  <c r="B911" i="7" s="1"/>
  <c r="C911" i="7" s="1"/>
  <c r="D911" i="7" s="1"/>
  <c r="B912" i="7" a="1"/>
  <c r="B912" i="7" s="1"/>
  <c r="C912" i="7" s="1"/>
  <c r="D912" i="7" s="1"/>
  <c r="B913" i="7" a="1"/>
  <c r="B913" i="7" s="1"/>
  <c r="C913" i="7" s="1"/>
  <c r="D913" i="7" s="1"/>
  <c r="B914" i="7" a="1"/>
  <c r="B914" i="7" s="1"/>
  <c r="C914" i="7" s="1"/>
  <c r="D914" i="7" s="1"/>
  <c r="B915" i="7" a="1"/>
  <c r="B915" i="7" s="1"/>
  <c r="C915" i="7" s="1"/>
  <c r="D915" i="7" s="1"/>
  <c r="B916" i="7" a="1"/>
  <c r="B916" i="7" s="1"/>
  <c r="C916" i="7" s="1"/>
  <c r="D916" i="7" s="1"/>
  <c r="B917" i="7" a="1"/>
  <c r="B917" i="7" s="1"/>
  <c r="C917" i="7" s="1"/>
  <c r="D917" i="7" s="1"/>
  <c r="B918" i="7" a="1"/>
  <c r="B918" i="7" s="1"/>
  <c r="C918" i="7" s="1"/>
  <c r="D918" i="7" s="1"/>
  <c r="B919" i="7" a="1"/>
  <c r="B919" i="7" s="1"/>
  <c r="C919" i="7" s="1"/>
  <c r="D919" i="7" s="1"/>
  <c r="B920" i="7" a="1"/>
  <c r="B920" i="7" s="1"/>
  <c r="C920" i="7" s="1"/>
  <c r="D920" i="7" s="1"/>
  <c r="B921" i="7" a="1"/>
  <c r="B921" i="7" s="1"/>
  <c r="C921" i="7" s="1"/>
  <c r="D921" i="7" s="1"/>
  <c r="B922" i="7" a="1"/>
  <c r="B922" i="7" s="1"/>
  <c r="C922" i="7" s="1"/>
  <c r="D922" i="7" s="1"/>
  <c r="B923" i="7" a="1"/>
  <c r="B923" i="7" s="1"/>
  <c r="C923" i="7" s="1"/>
  <c r="D923" i="7" s="1"/>
  <c r="B924" i="7" a="1"/>
  <c r="B924" i="7" s="1"/>
  <c r="C924" i="7" s="1"/>
  <c r="D924" i="7" s="1"/>
  <c r="B925" i="7" a="1"/>
  <c r="B925" i="7" s="1"/>
  <c r="C925" i="7" s="1"/>
  <c r="D925" i="7" s="1"/>
  <c r="B926" i="7" a="1"/>
  <c r="B926" i="7" s="1"/>
  <c r="C926" i="7" s="1"/>
  <c r="D926" i="7" s="1"/>
  <c r="B927" i="7" a="1"/>
  <c r="B927" i="7" s="1"/>
  <c r="C927" i="7" s="1"/>
  <c r="D927" i="7" s="1"/>
  <c r="B928" i="7" a="1"/>
  <c r="B928" i="7" s="1"/>
  <c r="C928" i="7" s="1"/>
  <c r="D928" i="7" s="1"/>
  <c r="B929" i="7" a="1"/>
  <c r="B929" i="7" s="1"/>
  <c r="C929" i="7" s="1"/>
  <c r="D929" i="7" s="1"/>
  <c r="B930" i="7" a="1"/>
  <c r="B930" i="7" s="1"/>
  <c r="C930" i="7" s="1"/>
  <c r="D930" i="7" s="1"/>
  <c r="B931" i="7" a="1"/>
  <c r="B931" i="7" s="1"/>
  <c r="C931" i="7" s="1"/>
  <c r="D931" i="7" s="1"/>
  <c r="B932" i="7" a="1"/>
  <c r="B932" i="7" s="1"/>
  <c r="C932" i="7" s="1"/>
  <c r="D932" i="7" s="1"/>
  <c r="B933" i="7" a="1"/>
  <c r="B933" i="7" s="1"/>
  <c r="C933" i="7" s="1"/>
  <c r="D933" i="7" s="1"/>
  <c r="B934" i="7" a="1"/>
  <c r="B934" i="7" s="1"/>
  <c r="C934" i="7" s="1"/>
  <c r="D934" i="7" s="1"/>
  <c r="B935" i="7" a="1"/>
  <c r="B935" i="7" s="1"/>
  <c r="C935" i="7" s="1"/>
  <c r="D935" i="7" s="1"/>
  <c r="B936" i="7" a="1"/>
  <c r="B936" i="7" s="1"/>
  <c r="C936" i="7" s="1"/>
  <c r="D936" i="7" s="1"/>
  <c r="B937" i="7" a="1"/>
  <c r="B937" i="7" s="1"/>
  <c r="C937" i="7" s="1"/>
  <c r="D937" i="7" s="1"/>
  <c r="B938" i="7" a="1"/>
  <c r="B938" i="7" s="1"/>
  <c r="C938" i="7" s="1"/>
  <c r="D938" i="7" s="1"/>
  <c r="B939" i="7" a="1"/>
  <c r="B939" i="7" s="1"/>
  <c r="C939" i="7" s="1"/>
  <c r="D939" i="7" s="1"/>
  <c r="B940" i="7" a="1"/>
  <c r="B940" i="7" s="1"/>
  <c r="C940" i="7" s="1"/>
  <c r="D940" i="7" s="1"/>
  <c r="B941" i="7" a="1"/>
  <c r="B941" i="7" s="1"/>
  <c r="C941" i="7" s="1"/>
  <c r="D941" i="7" s="1"/>
  <c r="B942" i="7" a="1"/>
  <c r="B942" i="7" s="1"/>
  <c r="C942" i="7" s="1"/>
  <c r="D942" i="7" s="1"/>
  <c r="B943" i="7" a="1"/>
  <c r="B943" i="7" s="1"/>
  <c r="C943" i="7" s="1"/>
  <c r="D943" i="7" s="1"/>
  <c r="B944" i="7" a="1"/>
  <c r="B944" i="7" s="1"/>
  <c r="C944" i="7" s="1"/>
  <c r="D944" i="7" s="1"/>
  <c r="B945" i="7" a="1"/>
  <c r="B945" i="7" s="1"/>
  <c r="C945" i="7" s="1"/>
  <c r="D945" i="7" s="1"/>
  <c r="B946" i="7" a="1"/>
  <c r="B946" i="7" s="1"/>
  <c r="C946" i="7" s="1"/>
  <c r="D946" i="7" s="1"/>
  <c r="B947" i="7" a="1"/>
  <c r="B947" i="7" s="1"/>
  <c r="C947" i="7" s="1"/>
  <c r="D947" i="7" s="1"/>
  <c r="B948" i="7" a="1"/>
  <c r="B948" i="7" s="1"/>
  <c r="C948" i="7" s="1"/>
  <c r="D948" i="7" s="1"/>
  <c r="B949" i="7" a="1"/>
  <c r="B949" i="7" s="1"/>
  <c r="C949" i="7" s="1"/>
  <c r="D949" i="7" s="1"/>
  <c r="B950" i="7" a="1"/>
  <c r="B950" i="7" s="1"/>
  <c r="C950" i="7" s="1"/>
  <c r="D950" i="7" s="1"/>
  <c r="B951" i="7" a="1"/>
  <c r="B951" i="7" s="1"/>
  <c r="C951" i="7" s="1"/>
  <c r="D951" i="7" s="1"/>
  <c r="B952" i="7" a="1"/>
  <c r="B952" i="7" s="1"/>
  <c r="C952" i="7" s="1"/>
  <c r="D952" i="7" s="1"/>
  <c r="B953" i="7" a="1"/>
  <c r="B953" i="7" s="1"/>
  <c r="C953" i="7" s="1"/>
  <c r="D953" i="7" s="1"/>
  <c r="B954" i="7" a="1"/>
  <c r="B954" i="7" s="1"/>
  <c r="C954" i="7" s="1"/>
  <c r="D954" i="7" s="1"/>
  <c r="B955" i="7" a="1"/>
  <c r="B955" i="7" s="1"/>
  <c r="C955" i="7" s="1"/>
  <c r="D955" i="7" s="1"/>
  <c r="B956" i="7" a="1"/>
  <c r="B956" i="7" s="1"/>
  <c r="C956" i="7" s="1"/>
  <c r="D956" i="7" s="1"/>
  <c r="B957" i="7" a="1"/>
  <c r="B957" i="7" s="1"/>
  <c r="C957" i="7" s="1"/>
  <c r="D957" i="7" s="1"/>
  <c r="B958" i="7" a="1"/>
  <c r="B958" i="7" s="1"/>
  <c r="C958" i="7" s="1"/>
  <c r="D958" i="7" s="1"/>
  <c r="B959" i="7" a="1"/>
  <c r="B959" i="7" s="1"/>
  <c r="C959" i="7" s="1"/>
  <c r="D959" i="7" s="1"/>
  <c r="B960" i="7" a="1"/>
  <c r="B960" i="7" s="1"/>
  <c r="C960" i="7" s="1"/>
  <c r="D960" i="7" s="1"/>
  <c r="B961" i="7" a="1"/>
  <c r="B961" i="7" s="1"/>
  <c r="C961" i="7" s="1"/>
  <c r="D961" i="7" s="1"/>
  <c r="B962" i="7" a="1"/>
  <c r="B962" i="7" s="1"/>
  <c r="C962" i="7" s="1"/>
  <c r="D962" i="7" s="1"/>
  <c r="B963" i="7" a="1"/>
  <c r="B963" i="7" s="1"/>
  <c r="C963" i="7" s="1"/>
  <c r="D963" i="7" s="1"/>
  <c r="B964" i="7" a="1"/>
  <c r="B964" i="7" s="1"/>
  <c r="C964" i="7" s="1"/>
  <c r="D964" i="7" s="1"/>
  <c r="B965" i="7" a="1"/>
  <c r="B965" i="7" s="1"/>
  <c r="C965" i="7" s="1"/>
  <c r="D965" i="7" s="1"/>
  <c r="B966" i="7" a="1"/>
  <c r="B966" i="7" s="1"/>
  <c r="C966" i="7" s="1"/>
  <c r="D966" i="7" s="1"/>
  <c r="B967" i="7" a="1"/>
  <c r="B967" i="7" s="1"/>
  <c r="C967" i="7" s="1"/>
  <c r="D967" i="7" s="1"/>
  <c r="B968" i="7" a="1"/>
  <c r="B968" i="7" s="1"/>
  <c r="C968" i="7" s="1"/>
  <c r="D968" i="7" s="1"/>
  <c r="B969" i="7" a="1"/>
  <c r="B969" i="7" s="1"/>
  <c r="C969" i="7" s="1"/>
  <c r="D969" i="7" s="1"/>
  <c r="B970" i="7" a="1"/>
  <c r="B970" i="7" s="1"/>
  <c r="C970" i="7" s="1"/>
  <c r="D970" i="7" s="1"/>
  <c r="B971" i="7" a="1"/>
  <c r="B971" i="7" s="1"/>
  <c r="C971" i="7" s="1"/>
  <c r="D971" i="7" s="1"/>
  <c r="B972" i="7" a="1"/>
  <c r="B972" i="7" s="1"/>
  <c r="C972" i="7" s="1"/>
  <c r="D972" i="7" s="1"/>
  <c r="B973" i="7" a="1"/>
  <c r="B973" i="7" s="1"/>
  <c r="C973" i="7" s="1"/>
  <c r="D973" i="7" s="1"/>
  <c r="B974" i="7" a="1"/>
  <c r="B974" i="7" s="1"/>
  <c r="C974" i="7" s="1"/>
  <c r="D974" i="7" s="1"/>
  <c r="B975" i="7" a="1"/>
  <c r="B975" i="7" s="1"/>
  <c r="C975" i="7" s="1"/>
  <c r="D975" i="7" s="1"/>
  <c r="B976" i="7" a="1"/>
  <c r="B976" i="7" s="1"/>
  <c r="C976" i="7" s="1"/>
  <c r="D976" i="7" s="1"/>
  <c r="B977" i="7" a="1"/>
  <c r="B977" i="7" s="1"/>
  <c r="C977" i="7" s="1"/>
  <c r="D977" i="7" s="1"/>
  <c r="B978" i="7" a="1"/>
  <c r="B978" i="7" s="1"/>
  <c r="C978" i="7" s="1"/>
  <c r="D978" i="7" s="1"/>
  <c r="B979" i="7" a="1"/>
  <c r="B979" i="7" s="1"/>
  <c r="C979" i="7" s="1"/>
  <c r="D979" i="7" s="1"/>
  <c r="B980" i="7" a="1"/>
  <c r="B980" i="7" s="1"/>
  <c r="C980" i="7" s="1"/>
  <c r="D980" i="7" s="1"/>
  <c r="B981" i="7" a="1"/>
  <c r="B981" i="7" s="1"/>
  <c r="C981" i="7" s="1"/>
  <c r="D981" i="7" s="1"/>
  <c r="B982" i="7" a="1"/>
  <c r="B982" i="7" s="1"/>
  <c r="C982" i="7" s="1"/>
  <c r="D982" i="7" s="1"/>
  <c r="B983" i="7" a="1"/>
  <c r="B983" i="7" s="1"/>
  <c r="C983" i="7" s="1"/>
  <c r="D983" i="7" s="1"/>
  <c r="B984" i="7" a="1"/>
  <c r="B984" i="7" s="1"/>
  <c r="C984" i="7" s="1"/>
  <c r="D984" i="7" s="1"/>
  <c r="B985" i="7" a="1"/>
  <c r="B985" i="7" s="1"/>
  <c r="C985" i="7" s="1"/>
  <c r="D985" i="7" s="1"/>
  <c r="B986" i="7" a="1"/>
  <c r="B986" i="7" s="1"/>
  <c r="C986" i="7" s="1"/>
  <c r="D986" i="7" s="1"/>
  <c r="B987" i="7" a="1"/>
  <c r="B987" i="7" s="1"/>
  <c r="C987" i="7" s="1"/>
  <c r="D987" i="7" s="1"/>
  <c r="B988" i="7" a="1"/>
  <c r="B988" i="7" s="1"/>
  <c r="C988" i="7" s="1"/>
  <c r="D988" i="7" s="1"/>
  <c r="B989" i="7" a="1"/>
  <c r="B989" i="7" s="1"/>
  <c r="C989" i="7" s="1"/>
  <c r="D989" i="7" s="1"/>
  <c r="B990" i="7" a="1"/>
  <c r="B990" i="7" s="1"/>
  <c r="C990" i="7" s="1"/>
  <c r="D990" i="7" s="1"/>
  <c r="B991" i="7" a="1"/>
  <c r="B991" i="7" s="1"/>
  <c r="C991" i="7" s="1"/>
  <c r="D991" i="7" s="1"/>
  <c r="B992" i="7" a="1"/>
  <c r="B992" i="7" s="1"/>
  <c r="C992" i="7" s="1"/>
  <c r="D992" i="7" s="1"/>
  <c r="B993" i="7" a="1"/>
  <c r="B993" i="7" s="1"/>
  <c r="C993" i="7" s="1"/>
  <c r="D993" i="7" s="1"/>
  <c r="B994" i="7" a="1"/>
  <c r="B994" i="7" s="1"/>
  <c r="C994" i="7" s="1"/>
  <c r="D994" i="7" s="1"/>
  <c r="B995" i="7" a="1"/>
  <c r="B995" i="7" s="1"/>
  <c r="C995" i="7" s="1"/>
  <c r="D995" i="7" s="1"/>
  <c r="B996" i="7" a="1"/>
  <c r="B996" i="7" s="1"/>
  <c r="C996" i="7" s="1"/>
  <c r="D996" i="7" s="1"/>
  <c r="B997" i="7" a="1"/>
  <c r="B997" i="7" s="1"/>
  <c r="C997" i="7" s="1"/>
  <c r="D997" i="7" s="1"/>
  <c r="B998" i="7" a="1"/>
  <c r="B998" i="7" s="1"/>
  <c r="C998" i="7" s="1"/>
  <c r="D998" i="7" s="1"/>
  <c r="B999" i="7" a="1"/>
  <c r="B999" i="7" s="1"/>
  <c r="C999" i="7" s="1"/>
  <c r="D999" i="7" s="1"/>
  <c r="B1000" i="7" a="1"/>
  <c r="B1000" i="7" s="1"/>
  <c r="C1000" i="7" s="1"/>
  <c r="D1000" i="7" s="1"/>
  <c r="B1001" i="7" a="1"/>
  <c r="B1001" i="7" s="1"/>
  <c r="C1001" i="7" s="1"/>
  <c r="D1001" i="7" s="1"/>
  <c r="B1002" i="7" a="1"/>
  <c r="B1002" i="7" s="1"/>
  <c r="C1002" i="7" s="1"/>
  <c r="D1002" i="7" s="1"/>
  <c r="B1003" i="7" a="1"/>
  <c r="B1003" i="7" s="1"/>
  <c r="C1003" i="7" s="1"/>
  <c r="D1003" i="7" s="1"/>
  <c r="B1004" i="7" a="1"/>
  <c r="B1004" i="7" s="1"/>
  <c r="C1004" i="7" s="1"/>
  <c r="D1004" i="7" s="1"/>
  <c r="B1005" i="7" a="1"/>
  <c r="B1005" i="7" s="1"/>
  <c r="C1005" i="7" s="1"/>
  <c r="D1005" i="7" s="1"/>
  <c r="B1006" i="7" a="1"/>
  <c r="B1006" i="7" s="1"/>
  <c r="C1006" i="7" s="1"/>
  <c r="D1006" i="7" s="1"/>
  <c r="B1007" i="7" a="1"/>
  <c r="B1007" i="7" s="1"/>
  <c r="C1007" i="7" s="1"/>
  <c r="D1007" i="7" s="1"/>
  <c r="B1008" i="7" a="1"/>
  <c r="B1008" i="7" s="1"/>
  <c r="C1008" i="7" s="1"/>
  <c r="D1008" i="7" s="1"/>
  <c r="B1009" i="7" a="1"/>
  <c r="B1009" i="7" s="1"/>
  <c r="C1009" i="7" s="1"/>
  <c r="D1009" i="7" s="1"/>
  <c r="B1010" i="7" a="1"/>
  <c r="B1010" i="7" s="1"/>
  <c r="C1010" i="7" s="1"/>
  <c r="D1010" i="7" s="1"/>
  <c r="B1011" i="7" a="1"/>
  <c r="B1011" i="7" s="1"/>
  <c r="C1011" i="7" s="1"/>
  <c r="D1011" i="7" s="1"/>
  <c r="B1012" i="7" a="1"/>
  <c r="B1012" i="7" s="1"/>
  <c r="C1012" i="7" s="1"/>
  <c r="D1012" i="7" s="1"/>
  <c r="B1013" i="7" a="1"/>
  <c r="B1013" i="7" s="1"/>
  <c r="C1013" i="7" s="1"/>
  <c r="D1013" i="7" s="1"/>
  <c r="B1014" i="7" a="1"/>
  <c r="B1014" i="7" s="1"/>
  <c r="C1014" i="7" s="1"/>
  <c r="D1014" i="7" s="1"/>
  <c r="B1015" i="7" a="1"/>
  <c r="B1015" i="7" s="1"/>
  <c r="C1015" i="7" s="1"/>
  <c r="D1015" i="7" s="1"/>
  <c r="B1016" i="7" a="1"/>
  <c r="B1016" i="7" s="1"/>
  <c r="C1016" i="7" s="1"/>
  <c r="D1016" i="7" s="1"/>
  <c r="B1017" i="7" a="1"/>
  <c r="B1017" i="7" s="1"/>
  <c r="C1017" i="7" s="1"/>
  <c r="D1017" i="7" s="1"/>
  <c r="B1018" i="7" a="1"/>
  <c r="B1018" i="7" s="1"/>
  <c r="C1018" i="7" s="1"/>
  <c r="D1018" i="7" s="1"/>
  <c r="B1019" i="7" a="1"/>
  <c r="B1019" i="7" s="1"/>
  <c r="C1019" i="7" s="1"/>
  <c r="D1019" i="7" s="1"/>
  <c r="B1020" i="7" a="1"/>
  <c r="B1020" i="7" s="1"/>
  <c r="C1020" i="7" s="1"/>
  <c r="D1020" i="7" s="1"/>
  <c r="B1021" i="7" a="1"/>
  <c r="B1021" i="7" s="1"/>
  <c r="C1021" i="7" s="1"/>
  <c r="D1021" i="7" s="1"/>
  <c r="B1022" i="7" a="1"/>
  <c r="B1022" i="7" s="1"/>
  <c r="C1022" i="7" s="1"/>
  <c r="D1022" i="7" s="1"/>
  <c r="B1023" i="7" a="1"/>
  <c r="B1023" i="7" s="1"/>
  <c r="C1023" i="7" s="1"/>
  <c r="D1023" i="7" s="1"/>
  <c r="B1024" i="7" a="1"/>
  <c r="B1024" i="7" s="1"/>
  <c r="C1024" i="7" s="1"/>
  <c r="D1024" i="7" s="1"/>
  <c r="B1025" i="7" a="1"/>
  <c r="B1025" i="7" s="1"/>
  <c r="C1025" i="7" s="1"/>
  <c r="D1025" i="7" s="1"/>
  <c r="B1026" i="7" a="1"/>
  <c r="B1026" i="7" s="1"/>
  <c r="C1026" i="7" s="1"/>
  <c r="D1026" i="7" s="1"/>
  <c r="B1027" i="7" a="1"/>
  <c r="B1027" i="7" s="1"/>
  <c r="C1027" i="7" s="1"/>
  <c r="D1027" i="7" s="1"/>
  <c r="B1028" i="7" a="1"/>
  <c r="B1028" i="7" s="1"/>
  <c r="C1028" i="7" s="1"/>
  <c r="D1028" i="7" s="1"/>
  <c r="B1029" i="7" a="1"/>
  <c r="B1029" i="7" s="1"/>
  <c r="C1029" i="7" s="1"/>
  <c r="D1029" i="7" s="1"/>
  <c r="B1030" i="7" a="1"/>
  <c r="B1030" i="7" s="1"/>
  <c r="C1030" i="7" s="1"/>
  <c r="D1030" i="7" s="1"/>
  <c r="B1031" i="7" a="1"/>
  <c r="B1031" i="7" s="1"/>
  <c r="C1031" i="7" s="1"/>
  <c r="D1031" i="7" s="1"/>
  <c r="B1032" i="7" a="1"/>
  <c r="B1032" i="7" s="1"/>
  <c r="C1032" i="7" s="1"/>
  <c r="D1032" i="7" s="1"/>
  <c r="B1033" i="7" a="1"/>
  <c r="B1033" i="7" s="1"/>
  <c r="C1033" i="7" s="1"/>
  <c r="D1033" i="7" s="1"/>
  <c r="B1034" i="7" a="1"/>
  <c r="B1034" i="7" s="1"/>
  <c r="C1034" i="7" s="1"/>
  <c r="D1034" i="7" s="1"/>
  <c r="B1035" i="7" a="1"/>
  <c r="B1035" i="7" s="1"/>
  <c r="C1035" i="7" s="1"/>
  <c r="D1035" i="7" s="1"/>
  <c r="B1036" i="7" a="1"/>
  <c r="B1036" i="7" s="1"/>
  <c r="C1036" i="7" s="1"/>
  <c r="D1036" i="7" s="1"/>
  <c r="B1037" i="7" a="1"/>
  <c r="B1037" i="7" s="1"/>
  <c r="C1037" i="7" s="1"/>
  <c r="D1037" i="7" s="1"/>
  <c r="B1038" i="7" a="1"/>
  <c r="B1038" i="7" s="1"/>
  <c r="C1038" i="7" s="1"/>
  <c r="D1038" i="7" s="1"/>
  <c r="B1039" i="7" a="1"/>
  <c r="B1039" i="7" s="1"/>
  <c r="C1039" i="7" s="1"/>
  <c r="D1039" i="7" s="1"/>
  <c r="B1040" i="7" a="1"/>
  <c r="B1040" i="7" s="1"/>
  <c r="C1040" i="7" s="1"/>
  <c r="D1040" i="7" s="1"/>
  <c r="B1041" i="7" a="1"/>
  <c r="B1041" i="7" s="1"/>
  <c r="C1041" i="7" s="1"/>
  <c r="D1041" i="7" s="1"/>
  <c r="B1042" i="7" a="1"/>
  <c r="B1042" i="7" s="1"/>
  <c r="C1042" i="7" s="1"/>
  <c r="D1042" i="7" s="1"/>
  <c r="B1043" i="7" a="1"/>
  <c r="B1043" i="7" s="1"/>
  <c r="C1043" i="7" s="1"/>
  <c r="D1043" i="7" s="1"/>
  <c r="B1044" i="7" a="1"/>
  <c r="B1044" i="7" s="1"/>
  <c r="C1044" i="7" s="1"/>
  <c r="D1044" i="7" s="1"/>
  <c r="B1045" i="7" a="1"/>
  <c r="B1045" i="7" s="1"/>
  <c r="C1045" i="7" s="1"/>
  <c r="D1045" i="7" s="1"/>
  <c r="B1046" i="7" a="1"/>
  <c r="B1046" i="7" s="1"/>
  <c r="C1046" i="7" s="1"/>
  <c r="D1046" i="7" s="1"/>
  <c r="B1047" i="7" a="1"/>
  <c r="B1047" i="7" s="1"/>
  <c r="C1047" i="7" s="1"/>
  <c r="D1047" i="7" s="1"/>
  <c r="B1048" i="7" a="1"/>
  <c r="B1048" i="7" s="1"/>
  <c r="C1048" i="7" s="1"/>
  <c r="D1048" i="7" s="1"/>
  <c r="B1049" i="7" a="1"/>
  <c r="B1049" i="7" s="1"/>
  <c r="C1049" i="7" s="1"/>
  <c r="D1049" i="7" s="1"/>
  <c r="B1050" i="7" a="1"/>
  <c r="B1050" i="7" s="1"/>
  <c r="C1050" i="7" s="1"/>
  <c r="D1050" i="7" s="1"/>
  <c r="B1051" i="7" a="1"/>
  <c r="B1051" i="7" s="1"/>
  <c r="C1051" i="7" s="1"/>
  <c r="D1051" i="7" s="1"/>
  <c r="B1052" i="7" a="1"/>
  <c r="B1052" i="7" s="1"/>
  <c r="C1052" i="7" s="1"/>
  <c r="D1052" i="7" s="1"/>
  <c r="B1053" i="7" a="1"/>
  <c r="B1053" i="7" s="1"/>
  <c r="C1053" i="7" s="1"/>
  <c r="D1053" i="7" s="1"/>
  <c r="B1054" i="7" a="1"/>
  <c r="B1054" i="7" s="1"/>
  <c r="C1054" i="7" s="1"/>
  <c r="D1054" i="7" s="1"/>
  <c r="B1055" i="7" a="1"/>
  <c r="B1055" i="7" s="1"/>
  <c r="C1055" i="7" s="1"/>
  <c r="D1055" i="7" s="1"/>
  <c r="B1056" i="7" a="1"/>
  <c r="B1056" i="7" s="1"/>
  <c r="C1056" i="7" s="1"/>
  <c r="D1056" i="7" s="1"/>
  <c r="B1057" i="7" a="1"/>
  <c r="B1057" i="7" s="1"/>
  <c r="C1057" i="7" s="1"/>
  <c r="D1057" i="7" s="1"/>
  <c r="B1058" i="7" a="1"/>
  <c r="B1058" i="7" s="1"/>
  <c r="C1058" i="7" s="1"/>
  <c r="D1058" i="7" s="1"/>
  <c r="B1059" i="7" a="1"/>
  <c r="B1059" i="7" s="1"/>
  <c r="C1059" i="7" s="1"/>
  <c r="D1059" i="7" s="1"/>
  <c r="B1060" i="7" a="1"/>
  <c r="B1060" i="7" s="1"/>
  <c r="C1060" i="7" s="1"/>
  <c r="D1060" i="7" s="1"/>
  <c r="B1061" i="7" a="1"/>
  <c r="B1061" i="7" s="1"/>
  <c r="C1061" i="7" s="1"/>
  <c r="D1061" i="7" s="1"/>
  <c r="B1062" i="7" a="1"/>
  <c r="B1062" i="7" s="1"/>
  <c r="C1062" i="7" s="1"/>
  <c r="D1062" i="7" s="1"/>
  <c r="B1063" i="7" a="1"/>
  <c r="B1063" i="7" s="1"/>
  <c r="C1063" i="7" s="1"/>
  <c r="D1063" i="7" s="1"/>
  <c r="B1064" i="7" a="1"/>
  <c r="B1064" i="7" s="1"/>
  <c r="C1064" i="7" s="1"/>
  <c r="D1064" i="7" s="1"/>
  <c r="B1065" i="7" a="1"/>
  <c r="B1065" i="7" s="1"/>
  <c r="C1065" i="7" s="1"/>
  <c r="D1065" i="7" s="1"/>
  <c r="B1066" i="7" a="1"/>
  <c r="B1066" i="7" s="1"/>
  <c r="C1066" i="7" s="1"/>
  <c r="D1066" i="7" s="1"/>
  <c r="B1067" i="7" a="1"/>
  <c r="B1067" i="7" s="1"/>
  <c r="C1067" i="7" s="1"/>
  <c r="D1067" i="7" s="1"/>
  <c r="B1068" i="7" a="1"/>
  <c r="B1068" i="7" s="1"/>
  <c r="C1068" i="7" s="1"/>
  <c r="D1068" i="7" s="1"/>
  <c r="B1069" i="7" a="1"/>
  <c r="B1069" i="7" s="1"/>
  <c r="C1069" i="7" s="1"/>
  <c r="D1069" i="7" s="1"/>
  <c r="B1070" i="7" a="1"/>
  <c r="B1070" i="7" s="1"/>
  <c r="C1070" i="7" s="1"/>
  <c r="D1070" i="7" s="1"/>
  <c r="B1071" i="7" a="1"/>
  <c r="B1071" i="7" s="1"/>
  <c r="C1071" i="7" s="1"/>
  <c r="D1071" i="7" s="1"/>
  <c r="B1072" i="7" a="1"/>
  <c r="B1072" i="7" s="1"/>
  <c r="C1072" i="7" s="1"/>
  <c r="D1072" i="7" s="1"/>
  <c r="B1073" i="7" a="1"/>
  <c r="B1073" i="7" s="1"/>
  <c r="C1073" i="7" s="1"/>
  <c r="D1073" i="7" s="1"/>
  <c r="B1074" i="7" a="1"/>
  <c r="B1074" i="7" s="1"/>
  <c r="C1074" i="7" s="1"/>
  <c r="D1074" i="7" s="1"/>
  <c r="B1075" i="7" a="1"/>
  <c r="B1075" i="7" s="1"/>
  <c r="C1075" i="7" s="1"/>
  <c r="D1075" i="7" s="1"/>
  <c r="B1076" i="7" a="1"/>
  <c r="B1076" i="7" s="1"/>
  <c r="C1076" i="7" s="1"/>
  <c r="D1076" i="7" s="1"/>
  <c r="B1077" i="7" a="1"/>
  <c r="B1077" i="7" s="1"/>
  <c r="C1077" i="7" s="1"/>
  <c r="D1077" i="7" s="1"/>
  <c r="B1078" i="7" a="1"/>
  <c r="B1078" i="7" s="1"/>
  <c r="C1078" i="7" s="1"/>
  <c r="D1078" i="7" s="1"/>
  <c r="B1079" i="7" a="1"/>
  <c r="B1079" i="7" s="1"/>
  <c r="C1079" i="7" s="1"/>
  <c r="D1079" i="7" s="1"/>
  <c r="B1080" i="7" a="1"/>
  <c r="B1080" i="7" s="1"/>
  <c r="C1080" i="7" s="1"/>
  <c r="D1080" i="7" s="1"/>
  <c r="B1081" i="7" a="1"/>
  <c r="B1081" i="7" s="1"/>
  <c r="C1081" i="7" s="1"/>
  <c r="D1081" i="7" s="1"/>
  <c r="B1082" i="7" a="1"/>
  <c r="B1082" i="7" s="1"/>
  <c r="C1082" i="7" s="1"/>
  <c r="D1082" i="7" s="1"/>
  <c r="B1083" i="7" a="1"/>
  <c r="B1083" i="7" s="1"/>
  <c r="C1083" i="7" s="1"/>
  <c r="D1083" i="7" s="1"/>
  <c r="B1084" i="7" a="1"/>
  <c r="B1084" i="7" s="1"/>
  <c r="C1084" i="7" s="1"/>
  <c r="D1084" i="7" s="1"/>
  <c r="B1085" i="7" a="1"/>
  <c r="B1085" i="7" s="1"/>
  <c r="C1085" i="7" s="1"/>
  <c r="D1085" i="7" s="1"/>
  <c r="B1086" i="7" a="1"/>
  <c r="B1086" i="7" s="1"/>
  <c r="C1086" i="7" s="1"/>
  <c r="D1086" i="7" s="1"/>
  <c r="B1087" i="7" a="1"/>
  <c r="B1087" i="7" s="1"/>
  <c r="C1087" i="7" s="1"/>
  <c r="D1087" i="7" s="1"/>
  <c r="B1088" i="7" a="1"/>
  <c r="B1088" i="7" s="1"/>
  <c r="C1088" i="7" s="1"/>
  <c r="D1088" i="7" s="1"/>
  <c r="B1089" i="7" a="1"/>
  <c r="B1089" i="7" s="1"/>
  <c r="C1089" i="7" s="1"/>
  <c r="D1089" i="7" s="1"/>
  <c r="B1090" i="7" a="1"/>
  <c r="B1090" i="7" s="1"/>
  <c r="C1090" i="7" s="1"/>
  <c r="D1090" i="7" s="1"/>
  <c r="B1091" i="7" a="1"/>
  <c r="B1091" i="7" s="1"/>
  <c r="C1091" i="7" s="1"/>
  <c r="D1091" i="7" s="1"/>
  <c r="B1092" i="7" a="1"/>
  <c r="B1092" i="7" s="1"/>
  <c r="C1092" i="7" s="1"/>
  <c r="D1092" i="7" s="1"/>
  <c r="B1093" i="7" a="1"/>
  <c r="B1093" i="7" s="1"/>
  <c r="C1093" i="7" s="1"/>
  <c r="D1093" i="7" s="1"/>
  <c r="B1094" i="7" a="1"/>
  <c r="B1094" i="7" s="1"/>
  <c r="C1094" i="7" s="1"/>
  <c r="D1094" i="7" s="1"/>
  <c r="B1095" i="7" a="1"/>
  <c r="B1095" i="7" s="1"/>
  <c r="C1095" i="7" s="1"/>
  <c r="D1095" i="7" s="1"/>
  <c r="B1096" i="7" a="1"/>
  <c r="B1096" i="7" s="1"/>
  <c r="C1096" i="7" s="1"/>
  <c r="D1096" i="7" s="1"/>
  <c r="B1097" i="7" a="1"/>
  <c r="B1097" i="7" s="1"/>
  <c r="C1097" i="7" s="1"/>
  <c r="D1097" i="7" s="1"/>
  <c r="B1098" i="7" a="1"/>
  <c r="B1098" i="7" s="1"/>
  <c r="C1098" i="7" s="1"/>
  <c r="D1098" i="7" s="1"/>
  <c r="B1099" i="7" a="1"/>
  <c r="B1099" i="7" s="1"/>
  <c r="C1099" i="7" s="1"/>
  <c r="D1099" i="7" s="1"/>
  <c r="B1100" i="7" a="1"/>
  <c r="B1100" i="7" s="1"/>
  <c r="C1100" i="7" s="1"/>
  <c r="D1100" i="7" s="1"/>
  <c r="B1101" i="7" a="1"/>
  <c r="B1101" i="7" s="1"/>
  <c r="C1101" i="7" s="1"/>
  <c r="D1101" i="7" s="1"/>
  <c r="B1102" i="7" a="1"/>
  <c r="B1102" i="7" s="1"/>
  <c r="C1102" i="7" s="1"/>
  <c r="D1102" i="7" s="1"/>
  <c r="B1103" i="7" a="1"/>
  <c r="B1103" i="7" s="1"/>
  <c r="C1103" i="7" s="1"/>
  <c r="D1103" i="7" s="1"/>
  <c r="B1104" i="7" a="1"/>
  <c r="B1104" i="7" s="1"/>
  <c r="C1104" i="7" s="1"/>
  <c r="D1104" i="7" s="1"/>
  <c r="B1105" i="7" a="1"/>
  <c r="B1105" i="7" s="1"/>
  <c r="C1105" i="7" s="1"/>
  <c r="D1105" i="7" s="1"/>
  <c r="B1106" i="7" a="1"/>
  <c r="B1106" i="7" s="1"/>
  <c r="C1106" i="7" s="1"/>
  <c r="D1106" i="7" s="1"/>
  <c r="B1107" i="7" a="1"/>
  <c r="B1107" i="7" s="1"/>
  <c r="C1107" i="7" s="1"/>
  <c r="D1107" i="7" s="1"/>
  <c r="B1108" i="7" a="1"/>
  <c r="B1108" i="7" s="1"/>
  <c r="C1108" i="7" s="1"/>
  <c r="D1108" i="7" s="1"/>
  <c r="B1109" i="7" a="1"/>
  <c r="B1109" i="7" s="1"/>
  <c r="C1109" i="7" s="1"/>
  <c r="D1109" i="7" s="1"/>
  <c r="B1110" i="7" a="1"/>
  <c r="B1110" i="7" s="1"/>
  <c r="C1110" i="7" s="1"/>
  <c r="D1110" i="7" s="1"/>
  <c r="B1111" i="7" a="1"/>
  <c r="B1111" i="7" s="1"/>
  <c r="C1111" i="7" s="1"/>
  <c r="D1111" i="7" s="1"/>
  <c r="B1112" i="7" a="1"/>
  <c r="B1112" i="7" s="1"/>
  <c r="C1112" i="7" s="1"/>
  <c r="D1112" i="7" s="1"/>
  <c r="B1113" i="7" a="1"/>
  <c r="B1113" i="7" s="1"/>
  <c r="C1113" i="7" s="1"/>
  <c r="D1113" i="7" s="1"/>
  <c r="B1114" i="7" a="1"/>
  <c r="B1114" i="7" s="1"/>
  <c r="C1114" i="7" s="1"/>
  <c r="D1114" i="7" s="1"/>
  <c r="B1115" i="7" a="1"/>
  <c r="B1115" i="7" s="1"/>
  <c r="C1115" i="7" s="1"/>
  <c r="D1115" i="7" s="1"/>
  <c r="B1116" i="7" a="1"/>
  <c r="B1116" i="7" s="1"/>
  <c r="C1116" i="7" s="1"/>
  <c r="D1116" i="7" s="1"/>
  <c r="B1117" i="7" a="1"/>
  <c r="B1117" i="7" s="1"/>
  <c r="C1117" i="7" s="1"/>
  <c r="D1117" i="7" s="1"/>
  <c r="B1118" i="7" a="1"/>
  <c r="B1118" i="7" s="1"/>
  <c r="C1118" i="7" s="1"/>
  <c r="D1118" i="7" s="1"/>
  <c r="B1119" i="7" a="1"/>
  <c r="B1119" i="7" s="1"/>
  <c r="C1119" i="7" s="1"/>
  <c r="D1119" i="7" s="1"/>
  <c r="B1120" i="7" a="1"/>
  <c r="B1120" i="7" s="1"/>
  <c r="C1120" i="7" s="1"/>
  <c r="D1120" i="7" s="1"/>
  <c r="B1121" i="7" a="1"/>
  <c r="B1121" i="7" s="1"/>
  <c r="C1121" i="7" s="1"/>
  <c r="D1121" i="7" s="1"/>
  <c r="B1122" i="7" a="1"/>
  <c r="B1122" i="7" s="1"/>
  <c r="C1122" i="7" s="1"/>
  <c r="D1122" i="7" s="1"/>
  <c r="B1123" i="7" a="1"/>
  <c r="B1123" i="7" s="1"/>
  <c r="C1123" i="7" s="1"/>
  <c r="D1123" i="7" s="1"/>
  <c r="B1124" i="7" a="1"/>
  <c r="B1124" i="7" s="1"/>
  <c r="C1124" i="7" s="1"/>
  <c r="D1124" i="7" s="1"/>
  <c r="B1125" i="7" a="1"/>
  <c r="B1125" i="7" s="1"/>
  <c r="C1125" i="7" s="1"/>
  <c r="D1125" i="7" s="1"/>
  <c r="B1126" i="7" a="1"/>
  <c r="B1126" i="7" s="1"/>
  <c r="C1126" i="7" s="1"/>
  <c r="D1126" i="7" s="1"/>
  <c r="B1127" i="7" a="1"/>
  <c r="B1127" i="7" s="1"/>
  <c r="C1127" i="7" s="1"/>
  <c r="D1127" i="7" s="1"/>
  <c r="B1128" i="7" a="1"/>
  <c r="B1128" i="7" s="1"/>
  <c r="C1128" i="7" s="1"/>
  <c r="D1128" i="7" s="1"/>
  <c r="B1129" i="7" a="1"/>
  <c r="B1129" i="7" s="1"/>
  <c r="C1129" i="7" s="1"/>
  <c r="D1129" i="7" s="1"/>
  <c r="B1130" i="7" a="1"/>
  <c r="B1130" i="7" s="1"/>
  <c r="C1130" i="7" s="1"/>
  <c r="D1130" i="7" s="1"/>
  <c r="B1131" i="7" a="1"/>
  <c r="B1131" i="7" s="1"/>
  <c r="C1131" i="7" s="1"/>
  <c r="D1131" i="7" s="1"/>
  <c r="B1132" i="7" a="1"/>
  <c r="B1132" i="7" s="1"/>
  <c r="C1132" i="7" s="1"/>
  <c r="D1132" i="7" s="1"/>
  <c r="B1133" i="7" a="1"/>
  <c r="B1133" i="7" s="1"/>
  <c r="C1133" i="7" s="1"/>
  <c r="D1133" i="7" s="1"/>
  <c r="B1134" i="7" a="1"/>
  <c r="B1134" i="7" s="1"/>
  <c r="C1134" i="7" s="1"/>
  <c r="D1134" i="7" s="1"/>
  <c r="B1135" i="7" a="1"/>
  <c r="B1135" i="7" s="1"/>
  <c r="C1135" i="7" s="1"/>
  <c r="D1135" i="7" s="1"/>
  <c r="B1136" i="7" a="1"/>
  <c r="B1136" i="7" s="1"/>
  <c r="C1136" i="7" s="1"/>
  <c r="D1136" i="7" s="1"/>
  <c r="B1137" i="7" a="1"/>
  <c r="B1137" i="7" s="1"/>
  <c r="C1137" i="7" s="1"/>
  <c r="D1137" i="7" s="1"/>
  <c r="B1138" i="7" a="1"/>
  <c r="B1138" i="7" s="1"/>
  <c r="C1138" i="7" s="1"/>
  <c r="D1138" i="7" s="1"/>
  <c r="B1139" i="7" a="1"/>
  <c r="B1139" i="7" s="1"/>
  <c r="C1139" i="7" s="1"/>
  <c r="D1139" i="7" s="1"/>
  <c r="B1140" i="7" a="1"/>
  <c r="B1140" i="7" s="1"/>
  <c r="C1140" i="7" s="1"/>
  <c r="D1140" i="7" s="1"/>
  <c r="B1141" i="7" a="1"/>
  <c r="B1141" i="7" s="1"/>
  <c r="C1141" i="7" s="1"/>
  <c r="D1141" i="7" s="1"/>
  <c r="B1142" i="7" a="1"/>
  <c r="B1142" i="7" s="1"/>
  <c r="C1142" i="7" s="1"/>
  <c r="D1142" i="7" s="1"/>
  <c r="B1143" i="7" a="1"/>
  <c r="B1143" i="7" s="1"/>
  <c r="C1143" i="7" s="1"/>
  <c r="D1143" i="7" s="1"/>
  <c r="B1144" i="7" a="1"/>
  <c r="B1144" i="7" s="1"/>
  <c r="C1144" i="7" s="1"/>
  <c r="D1144" i="7" s="1"/>
  <c r="B1145" i="7" a="1"/>
  <c r="B1145" i="7" s="1"/>
  <c r="C1145" i="7" s="1"/>
  <c r="D1145" i="7" s="1"/>
  <c r="B1146" i="7" a="1"/>
  <c r="B1146" i="7" s="1"/>
  <c r="C1146" i="7" s="1"/>
  <c r="D1146" i="7" s="1"/>
  <c r="B1147" i="7" a="1"/>
  <c r="B1147" i="7" s="1"/>
  <c r="C1147" i="7" s="1"/>
  <c r="D1147" i="7" s="1"/>
  <c r="B1148" i="7" a="1"/>
  <c r="B1148" i="7" s="1"/>
  <c r="C1148" i="7" s="1"/>
  <c r="D1148" i="7" s="1"/>
  <c r="B1149" i="7" a="1"/>
  <c r="B1149" i="7" s="1"/>
  <c r="C1149" i="7" s="1"/>
  <c r="D1149" i="7" s="1"/>
  <c r="B1150" i="7" a="1"/>
  <c r="B1150" i="7" s="1"/>
  <c r="C1150" i="7" s="1"/>
  <c r="D1150" i="7" s="1"/>
  <c r="B1151" i="7" a="1"/>
  <c r="B1151" i="7" s="1"/>
  <c r="C1151" i="7" s="1"/>
  <c r="D1151" i="7" s="1"/>
  <c r="B1152" i="7" a="1"/>
  <c r="B1152" i="7" s="1"/>
  <c r="C1152" i="7" s="1"/>
  <c r="D1152" i="7" s="1"/>
  <c r="B1153" i="7" a="1"/>
  <c r="B1153" i="7" s="1"/>
  <c r="C1153" i="7" s="1"/>
  <c r="D1153" i="7" s="1"/>
  <c r="B1154" i="7" a="1"/>
  <c r="B1154" i="7" s="1"/>
  <c r="C1154" i="7" s="1"/>
  <c r="D1154" i="7" s="1"/>
  <c r="B1155" i="7" a="1"/>
  <c r="B1155" i="7" s="1"/>
  <c r="C1155" i="7" s="1"/>
  <c r="D1155" i="7" s="1"/>
  <c r="B1156" i="7" a="1"/>
  <c r="B1156" i="7" s="1"/>
  <c r="C1156" i="7" s="1"/>
  <c r="D1156" i="7" s="1"/>
  <c r="B1157" i="7" a="1"/>
  <c r="B1157" i="7" s="1"/>
  <c r="C1157" i="7" s="1"/>
  <c r="D1157" i="7" s="1"/>
  <c r="B1158" i="7" a="1"/>
  <c r="B1158" i="7" s="1"/>
  <c r="C1158" i="7" s="1"/>
  <c r="D1158" i="7" s="1"/>
  <c r="B1159" i="7" a="1"/>
  <c r="B1159" i="7" s="1"/>
  <c r="C1159" i="7" s="1"/>
  <c r="D1159" i="7" s="1"/>
  <c r="B1160" i="7" a="1"/>
  <c r="B1160" i="7" s="1"/>
  <c r="C1160" i="7" s="1"/>
  <c r="D1160" i="7" s="1"/>
  <c r="B1161" i="7" a="1"/>
  <c r="B1161" i="7" s="1"/>
  <c r="C1161" i="7" s="1"/>
  <c r="D1161" i="7" s="1"/>
  <c r="B1162" i="7" a="1"/>
  <c r="B1162" i="7" s="1"/>
  <c r="C1162" i="7" s="1"/>
  <c r="D1162" i="7" s="1"/>
  <c r="B1163" i="7" a="1"/>
  <c r="B1163" i="7" s="1"/>
  <c r="C1163" i="7" s="1"/>
  <c r="D1163" i="7" s="1"/>
  <c r="B1164" i="7" a="1"/>
  <c r="B1164" i="7" s="1"/>
  <c r="C1164" i="7" s="1"/>
  <c r="D1164" i="7" s="1"/>
  <c r="B1165" i="7" a="1"/>
  <c r="B1165" i="7" s="1"/>
  <c r="C1165" i="7" s="1"/>
  <c r="D1165" i="7" s="1"/>
  <c r="B1166" i="7" a="1"/>
  <c r="B1166" i="7" s="1"/>
  <c r="C1166" i="7" s="1"/>
  <c r="D1166" i="7" s="1"/>
  <c r="B1167" i="7" a="1"/>
  <c r="B1167" i="7" s="1"/>
  <c r="C1167" i="7" s="1"/>
  <c r="D1167" i="7" s="1"/>
  <c r="B1168" i="7" a="1"/>
  <c r="B1168" i="7" s="1"/>
  <c r="C1168" i="7" s="1"/>
  <c r="D1168" i="7" s="1"/>
  <c r="B1169" i="7" a="1"/>
  <c r="B1169" i="7" s="1"/>
  <c r="C1169" i="7" s="1"/>
  <c r="D1169" i="7" s="1"/>
  <c r="B1170" i="7" a="1"/>
  <c r="B1170" i="7" s="1"/>
  <c r="C1170" i="7" s="1"/>
  <c r="D1170" i="7" s="1"/>
  <c r="B1171" i="7" a="1"/>
  <c r="B1171" i="7" s="1"/>
  <c r="C1171" i="7" s="1"/>
  <c r="D1171" i="7" s="1"/>
  <c r="B1172" i="7" a="1"/>
  <c r="B1172" i="7" s="1"/>
  <c r="C1172" i="7" s="1"/>
  <c r="D1172" i="7" s="1"/>
  <c r="B1173" i="7" a="1"/>
  <c r="B1173" i="7" s="1"/>
  <c r="C1173" i="7" s="1"/>
  <c r="D1173" i="7" s="1"/>
  <c r="B1174" i="7" a="1"/>
  <c r="B1174" i="7" s="1"/>
  <c r="C1174" i="7" s="1"/>
  <c r="D1174" i="7" s="1"/>
  <c r="B1175" i="7" a="1"/>
  <c r="B1175" i="7" s="1"/>
  <c r="C1175" i="7" s="1"/>
  <c r="D1175" i="7" s="1"/>
  <c r="B1176" i="7" a="1"/>
  <c r="B1176" i="7" s="1"/>
  <c r="C1176" i="7" s="1"/>
  <c r="D1176" i="7" s="1"/>
  <c r="B1177" i="7" a="1"/>
  <c r="B1177" i="7" s="1"/>
  <c r="C1177" i="7" s="1"/>
  <c r="D1177" i="7" s="1"/>
  <c r="B1178" i="7" a="1"/>
  <c r="B1178" i="7" s="1"/>
  <c r="C1178" i="7" s="1"/>
  <c r="D1178" i="7" s="1"/>
  <c r="B1179" i="7" a="1"/>
  <c r="B1179" i="7" s="1"/>
  <c r="C1179" i="7" s="1"/>
  <c r="D1179" i="7" s="1"/>
  <c r="B1180" i="7" a="1"/>
  <c r="B1180" i="7" s="1"/>
  <c r="C1180" i="7" s="1"/>
  <c r="D1180" i="7" s="1"/>
  <c r="B1181" i="7" a="1"/>
  <c r="B1181" i="7" s="1"/>
  <c r="C1181" i="7" s="1"/>
  <c r="D1181" i="7" s="1"/>
  <c r="B1182" i="7" a="1"/>
  <c r="B1182" i="7" s="1"/>
  <c r="C1182" i="7" s="1"/>
  <c r="D1182" i="7" s="1"/>
  <c r="B1183" i="7" a="1"/>
  <c r="B1183" i="7" s="1"/>
  <c r="C1183" i="7" s="1"/>
  <c r="D1183" i="7" s="1"/>
  <c r="B1184" i="7" a="1"/>
  <c r="B1184" i="7" s="1"/>
  <c r="C1184" i="7" s="1"/>
  <c r="D1184" i="7" s="1"/>
  <c r="B1185" i="7" a="1"/>
  <c r="B1185" i="7" s="1"/>
  <c r="C1185" i="7" s="1"/>
  <c r="D1185" i="7" s="1"/>
  <c r="B1186" i="7" a="1"/>
  <c r="B1186" i="7" s="1"/>
  <c r="C1186" i="7" s="1"/>
  <c r="D1186" i="7" s="1"/>
  <c r="B1187" i="7" a="1"/>
  <c r="B1187" i="7" s="1"/>
  <c r="C1187" i="7" s="1"/>
  <c r="D1187" i="7" s="1"/>
  <c r="B1188" i="7" a="1"/>
  <c r="B1188" i="7" s="1"/>
  <c r="C1188" i="7" s="1"/>
  <c r="D1188" i="7" s="1"/>
  <c r="B1189" i="7" a="1"/>
  <c r="B1189" i="7" s="1"/>
  <c r="C1189" i="7" s="1"/>
  <c r="D1189" i="7" s="1"/>
  <c r="B1190" i="7" a="1"/>
  <c r="B1190" i="7" s="1"/>
  <c r="C1190" i="7" s="1"/>
  <c r="D1190" i="7" s="1"/>
  <c r="B1191" i="7" a="1"/>
  <c r="B1191" i="7" s="1"/>
  <c r="C1191" i="7" s="1"/>
  <c r="D1191" i="7" s="1"/>
  <c r="B1192" i="7" a="1"/>
  <c r="B1192" i="7" s="1"/>
  <c r="C1192" i="7" s="1"/>
  <c r="D1192" i="7" s="1"/>
  <c r="B1193" i="7" a="1"/>
  <c r="B1193" i="7" s="1"/>
  <c r="C1193" i="7" s="1"/>
  <c r="D1193" i="7" s="1"/>
  <c r="B1194" i="7" a="1"/>
  <c r="B1194" i="7" s="1"/>
  <c r="C1194" i="7" s="1"/>
  <c r="D1194" i="7" s="1"/>
  <c r="B1195" i="7" a="1"/>
  <c r="B1195" i="7" s="1"/>
  <c r="C1195" i="7" s="1"/>
  <c r="D1195" i="7" s="1"/>
  <c r="B1196" i="7" a="1"/>
  <c r="B1196" i="7" s="1"/>
  <c r="C1196" i="7" s="1"/>
  <c r="D1196" i="7" s="1"/>
  <c r="B1197" i="7" a="1"/>
  <c r="B1197" i="7" s="1"/>
  <c r="C1197" i="7" s="1"/>
  <c r="D1197" i="7" s="1"/>
  <c r="B1198" i="7" a="1"/>
  <c r="B1198" i="7" s="1"/>
  <c r="C1198" i="7" s="1"/>
  <c r="D1198" i="7" s="1"/>
  <c r="B1199" i="7" a="1"/>
  <c r="B1199" i="7" s="1"/>
  <c r="C1199" i="7" s="1"/>
  <c r="D1199" i="7" s="1"/>
  <c r="B1200" i="7" a="1"/>
  <c r="B1200" i="7" s="1"/>
  <c r="C1200" i="7" s="1"/>
  <c r="D1200" i="7" s="1"/>
  <c r="B1201" i="7" a="1"/>
  <c r="B1201" i="7" s="1"/>
  <c r="C1201" i="7" s="1"/>
  <c r="D1201" i="7" s="1"/>
  <c r="B1202" i="7" a="1"/>
  <c r="B1202" i="7" s="1"/>
  <c r="C1202" i="7" s="1"/>
  <c r="D1202" i="7" s="1"/>
  <c r="B1203" i="7" a="1"/>
  <c r="B1203" i="7" s="1"/>
  <c r="C1203" i="7" s="1"/>
  <c r="D1203" i="7" s="1"/>
  <c r="B1204" i="7" a="1"/>
  <c r="B1204" i="7" s="1"/>
  <c r="C1204" i="7" s="1"/>
  <c r="D1204" i="7" s="1"/>
  <c r="B1205" i="7" a="1"/>
  <c r="B1205" i="7" s="1"/>
  <c r="C1205" i="7" s="1"/>
  <c r="D1205" i="7" s="1"/>
  <c r="B1206" i="7" a="1"/>
  <c r="B1206" i="7" s="1"/>
  <c r="C1206" i="7" s="1"/>
  <c r="D1206" i="7" s="1"/>
  <c r="B1207" i="7" a="1"/>
  <c r="B1207" i="7" s="1"/>
  <c r="C1207" i="7" s="1"/>
  <c r="D1207" i="7" s="1"/>
  <c r="B1208" i="7" a="1"/>
  <c r="B1208" i="7" s="1"/>
  <c r="C1208" i="7" s="1"/>
  <c r="D1208" i="7" s="1"/>
  <c r="B1209" i="7" a="1"/>
  <c r="B1209" i="7" s="1"/>
  <c r="C1209" i="7" s="1"/>
  <c r="D1209" i="7" s="1"/>
  <c r="B1210" i="7" a="1"/>
  <c r="B1210" i="7" s="1"/>
  <c r="C1210" i="7" s="1"/>
  <c r="D1210" i="7" s="1"/>
  <c r="B1211" i="7" a="1"/>
  <c r="B1211" i="7" s="1"/>
  <c r="C1211" i="7" s="1"/>
  <c r="D1211" i="7" s="1"/>
  <c r="B1212" i="7" a="1"/>
  <c r="B1212" i="7" s="1"/>
  <c r="C1212" i="7" s="1"/>
  <c r="D1212" i="7" s="1"/>
  <c r="B1213" i="7" a="1"/>
  <c r="B1213" i="7" s="1"/>
  <c r="C1213" i="7" s="1"/>
  <c r="D1213" i="7" s="1"/>
  <c r="B1214" i="7" a="1"/>
  <c r="B1214" i="7" s="1"/>
  <c r="C1214" i="7" s="1"/>
  <c r="D1214" i="7" s="1"/>
  <c r="B1215" i="7" a="1"/>
  <c r="B1215" i="7" s="1"/>
  <c r="C1215" i="7" s="1"/>
  <c r="D1215" i="7" s="1"/>
  <c r="B1216" i="7" a="1"/>
  <c r="B1216" i="7" s="1"/>
  <c r="C1216" i="7" s="1"/>
  <c r="D1216" i="7" s="1"/>
  <c r="B1217" i="7" a="1"/>
  <c r="B1217" i="7" s="1"/>
  <c r="C1217" i="7" s="1"/>
  <c r="D1217" i="7" s="1"/>
  <c r="B1218" i="7" a="1"/>
  <c r="B1218" i="7" s="1"/>
  <c r="C1218" i="7" s="1"/>
  <c r="D1218" i="7" s="1"/>
  <c r="B1219" i="7" a="1"/>
  <c r="B1219" i="7" s="1"/>
  <c r="C1219" i="7" s="1"/>
  <c r="D1219" i="7" s="1"/>
  <c r="B1220" i="7" a="1"/>
  <c r="B1220" i="7" s="1"/>
  <c r="C1220" i="7" s="1"/>
  <c r="D1220" i="7" s="1"/>
  <c r="B1221" i="7" a="1"/>
  <c r="B1221" i="7" s="1"/>
  <c r="C1221" i="7" s="1"/>
  <c r="D1221" i="7" s="1"/>
  <c r="B1222" i="7" a="1"/>
  <c r="B1222" i="7" s="1"/>
  <c r="C1222" i="7" s="1"/>
  <c r="D1222" i="7" s="1"/>
  <c r="B1223" i="7" a="1"/>
  <c r="B1223" i="7" s="1"/>
  <c r="C1223" i="7" s="1"/>
  <c r="D1223" i="7" s="1"/>
  <c r="B1224" i="7" a="1"/>
  <c r="B1224" i="7" s="1"/>
  <c r="C1224" i="7" s="1"/>
  <c r="D1224" i="7" s="1"/>
  <c r="B1225" i="7" a="1"/>
  <c r="B1225" i="7" s="1"/>
  <c r="C1225" i="7" s="1"/>
  <c r="D1225" i="7" s="1"/>
  <c r="B1226" i="7" a="1"/>
  <c r="B1226" i="7" s="1"/>
  <c r="C1226" i="7" s="1"/>
  <c r="D1226" i="7" s="1"/>
  <c r="B1227" i="7" a="1"/>
  <c r="B1227" i="7" s="1"/>
  <c r="C1227" i="7" s="1"/>
  <c r="D1227" i="7" s="1"/>
  <c r="B1228" i="7" a="1"/>
  <c r="B1228" i="7" s="1"/>
  <c r="C1228" i="7" s="1"/>
  <c r="D1228" i="7" s="1"/>
  <c r="B1229" i="7" a="1"/>
  <c r="B1229" i="7" s="1"/>
  <c r="C1229" i="7" s="1"/>
  <c r="D1229" i="7" s="1"/>
  <c r="B1230" i="7" a="1"/>
  <c r="B1230" i="7" s="1"/>
  <c r="C1230" i="7" s="1"/>
  <c r="D1230" i="7" s="1"/>
  <c r="B1231" i="7" a="1"/>
  <c r="B1231" i="7" s="1"/>
  <c r="C1231" i="7" s="1"/>
  <c r="D1231" i="7" s="1"/>
  <c r="B1232" i="7" a="1"/>
  <c r="B1232" i="7" s="1"/>
  <c r="C1232" i="7" s="1"/>
  <c r="D1232" i="7" s="1"/>
  <c r="B1233" i="7" a="1"/>
  <c r="B1233" i="7" s="1"/>
  <c r="C1233" i="7" s="1"/>
  <c r="D1233" i="7" s="1"/>
  <c r="B1234" i="7" a="1"/>
  <c r="B1234" i="7" s="1"/>
  <c r="C1234" i="7" s="1"/>
  <c r="D1234" i="7" s="1"/>
  <c r="B1235" i="7" a="1"/>
  <c r="B1235" i="7" s="1"/>
  <c r="C1235" i="7" s="1"/>
  <c r="D1235" i="7" s="1"/>
  <c r="B1236" i="7" a="1"/>
  <c r="B1236" i="7" s="1"/>
  <c r="C1236" i="7" s="1"/>
  <c r="D1236" i="7" s="1"/>
  <c r="B1237" i="7" a="1"/>
  <c r="B1237" i="7" s="1"/>
  <c r="C1237" i="7" s="1"/>
  <c r="D1237" i="7" s="1"/>
  <c r="B1238" i="7" a="1"/>
  <c r="B1238" i="7" s="1"/>
  <c r="C1238" i="7" s="1"/>
  <c r="D1238" i="7" s="1"/>
  <c r="B1239" i="7" a="1"/>
  <c r="B1239" i="7" s="1"/>
  <c r="C1239" i="7" s="1"/>
  <c r="D1239" i="7" s="1"/>
  <c r="B1240" i="7" a="1"/>
  <c r="B1240" i="7" s="1"/>
  <c r="C1240" i="7" s="1"/>
  <c r="D1240" i="7" s="1"/>
  <c r="B1241" i="7" a="1"/>
  <c r="B1241" i="7" s="1"/>
  <c r="C1241" i="7" s="1"/>
  <c r="D1241" i="7" s="1"/>
  <c r="B1242" i="7" a="1"/>
  <c r="B1242" i="7" s="1"/>
  <c r="C1242" i="7" s="1"/>
  <c r="D1242" i="7" s="1"/>
  <c r="B1243" i="7" a="1"/>
  <c r="B1243" i="7" s="1"/>
  <c r="C1243" i="7" s="1"/>
  <c r="D1243" i="7" s="1"/>
  <c r="B1244" i="7" a="1"/>
  <c r="B1244" i="7" s="1"/>
  <c r="C1244" i="7" s="1"/>
  <c r="D1244" i="7" s="1"/>
  <c r="B1245" i="7" a="1"/>
  <c r="B1245" i="7" s="1"/>
  <c r="C1245" i="7" s="1"/>
  <c r="D1245" i="7" s="1"/>
  <c r="B1246" i="7" a="1"/>
  <c r="B1246" i="7" s="1"/>
  <c r="C1246" i="7" s="1"/>
  <c r="D1246" i="7" s="1"/>
  <c r="B1247" i="7" a="1"/>
  <c r="B1247" i="7" s="1"/>
  <c r="C1247" i="7" s="1"/>
  <c r="D1247" i="7" s="1"/>
  <c r="B1248" i="7" a="1"/>
  <c r="B1248" i="7" s="1"/>
  <c r="C1248" i="7" s="1"/>
  <c r="D1248" i="7" s="1"/>
  <c r="B1249" i="7" a="1"/>
  <c r="B1249" i="7" s="1"/>
  <c r="C1249" i="7" s="1"/>
  <c r="D1249" i="7" s="1"/>
  <c r="B1250" i="7" a="1"/>
  <c r="B1250" i="7" s="1"/>
  <c r="C1250" i="7" s="1"/>
  <c r="D1250" i="7" s="1"/>
  <c r="B1251" i="7" a="1"/>
  <c r="B1251" i="7" s="1"/>
  <c r="C1251" i="7" s="1"/>
  <c r="D1251" i="7" s="1"/>
  <c r="B1252" i="7" a="1"/>
  <c r="B1252" i="7" s="1"/>
  <c r="C1252" i="7" s="1"/>
  <c r="D1252" i="7" s="1"/>
  <c r="B1253" i="7" a="1"/>
  <c r="B1253" i="7" s="1"/>
  <c r="C1253" i="7" s="1"/>
  <c r="D1253" i="7" s="1"/>
  <c r="B1254" i="7" a="1"/>
  <c r="B1254" i="7" s="1"/>
  <c r="C1254" i="7" s="1"/>
  <c r="D1254" i="7" s="1"/>
  <c r="B1255" i="7" a="1"/>
  <c r="B1255" i="7" s="1"/>
  <c r="C1255" i="7" s="1"/>
  <c r="D1255" i="7" s="1"/>
  <c r="B1256" i="7" a="1"/>
  <c r="B1256" i="7" s="1"/>
  <c r="C1256" i="7" s="1"/>
  <c r="D1256" i="7" s="1"/>
  <c r="B1257" i="7" a="1"/>
  <c r="B1257" i="7" s="1"/>
  <c r="C1257" i="7" s="1"/>
  <c r="D1257" i="7" s="1"/>
  <c r="B1258" i="7" a="1"/>
  <c r="B1258" i="7" s="1"/>
  <c r="C1258" i="7" s="1"/>
  <c r="D1258" i="7" s="1"/>
  <c r="B1259" i="7" a="1"/>
  <c r="B1259" i="7" s="1"/>
  <c r="C1259" i="7" s="1"/>
  <c r="D1259" i="7" s="1"/>
  <c r="B1260" i="7" a="1"/>
  <c r="B1260" i="7" s="1"/>
  <c r="C1260" i="7" s="1"/>
  <c r="D1260" i="7" s="1"/>
  <c r="B1261" i="7" a="1"/>
  <c r="B1261" i="7" s="1"/>
  <c r="C1261" i="7" s="1"/>
  <c r="D1261" i="7" s="1"/>
  <c r="B1262" i="7" a="1"/>
  <c r="B1262" i="7" s="1"/>
  <c r="C1262" i="7" s="1"/>
  <c r="D1262" i="7" s="1"/>
  <c r="B1263" i="7" a="1"/>
  <c r="B1263" i="7" s="1"/>
  <c r="C1263" i="7" s="1"/>
  <c r="D1263" i="7" s="1"/>
  <c r="B1264" i="7" a="1"/>
  <c r="B1264" i="7" s="1"/>
  <c r="C1264" i="7" s="1"/>
  <c r="D1264" i="7" s="1"/>
  <c r="B1265" i="7" a="1"/>
  <c r="B1265" i="7" s="1"/>
  <c r="C1265" i="7" s="1"/>
  <c r="D1265" i="7" s="1"/>
  <c r="B1266" i="7" a="1"/>
  <c r="B1266" i="7" s="1"/>
  <c r="C1266" i="7" s="1"/>
  <c r="D1266" i="7" s="1"/>
  <c r="B1267" i="7" a="1"/>
  <c r="B1267" i="7" s="1"/>
  <c r="C1267" i="7" s="1"/>
  <c r="D1267" i="7" s="1"/>
  <c r="B1268" i="7" a="1"/>
  <c r="B1268" i="7" s="1"/>
  <c r="C1268" i="7" s="1"/>
  <c r="D1268" i="7" s="1"/>
  <c r="B1269" i="7" a="1"/>
  <c r="B1269" i="7" s="1"/>
  <c r="C1269" i="7" s="1"/>
  <c r="D1269" i="7" s="1"/>
  <c r="B1270" i="7" a="1"/>
  <c r="B1270" i="7" s="1"/>
  <c r="C1270" i="7" s="1"/>
  <c r="D1270" i="7" s="1"/>
  <c r="B1271" i="7" a="1"/>
  <c r="B1271" i="7" s="1"/>
  <c r="C1271" i="7" s="1"/>
  <c r="D1271" i="7" s="1"/>
  <c r="B1272" i="7" a="1"/>
  <c r="B1272" i="7" s="1"/>
  <c r="C1272" i="7" s="1"/>
  <c r="D1272" i="7" s="1"/>
  <c r="B1273" i="7" a="1"/>
  <c r="B1273" i="7" s="1"/>
  <c r="C1273" i="7" s="1"/>
  <c r="D1273" i="7" s="1"/>
  <c r="B1274" i="7" a="1"/>
  <c r="B1274" i="7" s="1"/>
  <c r="C1274" i="7" s="1"/>
  <c r="D1274" i="7" s="1"/>
  <c r="B1275" i="7" a="1"/>
  <c r="B1275" i="7" s="1"/>
  <c r="C1275" i="7" s="1"/>
  <c r="D1275" i="7" s="1"/>
  <c r="B1276" i="7" a="1"/>
  <c r="B1276" i="7" s="1"/>
  <c r="C1276" i="7" s="1"/>
  <c r="D1276" i="7" s="1"/>
  <c r="B1277" i="7" a="1"/>
  <c r="B1277" i="7" s="1"/>
  <c r="C1277" i="7" s="1"/>
  <c r="D1277" i="7" s="1"/>
  <c r="B1278" i="7" a="1"/>
  <c r="B1278" i="7" s="1"/>
  <c r="C1278" i="7" s="1"/>
  <c r="D1278" i="7" s="1"/>
  <c r="B1279" i="7" a="1"/>
  <c r="B1279" i="7" s="1"/>
  <c r="C1279" i="7" s="1"/>
  <c r="D1279" i="7" s="1"/>
  <c r="B1280" i="7" a="1"/>
  <c r="B1280" i="7" s="1"/>
  <c r="C1280" i="7" s="1"/>
  <c r="D1280" i="7" s="1"/>
  <c r="B1281" i="7" a="1"/>
  <c r="B1281" i="7" s="1"/>
  <c r="C1281" i="7" s="1"/>
  <c r="D1281" i="7" s="1"/>
  <c r="B1282" i="7" a="1"/>
  <c r="B1282" i="7" s="1"/>
  <c r="C1282" i="7" s="1"/>
  <c r="D1282" i="7" s="1"/>
  <c r="B1283" i="7" a="1"/>
  <c r="B1283" i="7" s="1"/>
  <c r="C1283" i="7" s="1"/>
  <c r="D1283" i="7" s="1"/>
  <c r="B1284" i="7" a="1"/>
  <c r="B1284" i="7" s="1"/>
  <c r="C1284" i="7" s="1"/>
  <c r="D1284" i="7" s="1"/>
  <c r="B1285" i="7" a="1"/>
  <c r="B1285" i="7" s="1"/>
  <c r="C1285" i="7" s="1"/>
  <c r="D1285" i="7" s="1"/>
  <c r="B1286" i="7" a="1"/>
  <c r="B1286" i="7" s="1"/>
  <c r="C1286" i="7" s="1"/>
  <c r="D1286" i="7" s="1"/>
  <c r="B1287" i="7" a="1"/>
  <c r="B1287" i="7" s="1"/>
  <c r="C1287" i="7" s="1"/>
  <c r="D1287" i="7" s="1"/>
  <c r="B1288" i="7" a="1"/>
  <c r="B1288" i="7" s="1"/>
  <c r="C1288" i="7" s="1"/>
  <c r="D1288" i="7" s="1"/>
  <c r="B1289" i="7" a="1"/>
  <c r="B1289" i="7" s="1"/>
  <c r="C1289" i="7" s="1"/>
  <c r="D1289" i="7" s="1"/>
  <c r="B1290" i="7" a="1"/>
  <c r="B1290" i="7" s="1"/>
  <c r="C1290" i="7" s="1"/>
  <c r="D1290" i="7" s="1"/>
  <c r="B1291" i="7" a="1"/>
  <c r="B1291" i="7" s="1"/>
  <c r="C1291" i="7" s="1"/>
  <c r="D1291" i="7" s="1"/>
  <c r="B1292" i="7" a="1"/>
  <c r="B1292" i="7" s="1"/>
  <c r="C1292" i="7" s="1"/>
  <c r="D1292" i="7" s="1"/>
  <c r="B1293" i="7" a="1"/>
  <c r="B1293" i="7" s="1"/>
  <c r="C1293" i="7" s="1"/>
  <c r="D1293" i="7" s="1"/>
  <c r="B1294" i="7" a="1"/>
  <c r="B1294" i="7" s="1"/>
  <c r="C1294" i="7" s="1"/>
  <c r="D1294" i="7" s="1"/>
  <c r="B1295" i="7" a="1"/>
  <c r="B1295" i="7" s="1"/>
  <c r="C1295" i="7" s="1"/>
  <c r="D1295" i="7" s="1"/>
  <c r="B1296" i="7" a="1"/>
  <c r="B1296" i="7" s="1"/>
  <c r="C1296" i="7" s="1"/>
  <c r="D1296" i="7" s="1"/>
  <c r="B1297" i="7" a="1"/>
  <c r="B1297" i="7" s="1"/>
  <c r="C1297" i="7" s="1"/>
  <c r="D1297" i="7" s="1"/>
  <c r="B1298" i="7" a="1"/>
  <c r="B1298" i="7" s="1"/>
  <c r="C1298" i="7" s="1"/>
  <c r="D1298" i="7" s="1"/>
  <c r="B1299" i="7" a="1"/>
  <c r="B1299" i="7" s="1"/>
  <c r="C1299" i="7" s="1"/>
  <c r="D1299" i="7" s="1"/>
  <c r="B1300" i="7" a="1"/>
  <c r="B1300" i="7" s="1"/>
  <c r="C1300" i="7" s="1"/>
  <c r="D1300" i="7" s="1"/>
  <c r="B1301" i="7" a="1"/>
  <c r="B1301" i="7" s="1"/>
  <c r="C1301" i="7" s="1"/>
  <c r="D1301" i="7" s="1"/>
  <c r="B1302" i="7" a="1"/>
  <c r="B1302" i="7" s="1"/>
  <c r="C1302" i="7" s="1"/>
  <c r="D1302" i="7" s="1"/>
  <c r="B1303" i="7" a="1"/>
  <c r="B1303" i="7" s="1"/>
  <c r="C1303" i="7" s="1"/>
  <c r="D1303" i="7" s="1"/>
  <c r="B1304" i="7" a="1"/>
  <c r="B1304" i="7" s="1"/>
  <c r="C1304" i="7" s="1"/>
  <c r="D1304" i="7" s="1"/>
  <c r="B1305" i="7" a="1"/>
  <c r="B1305" i="7" s="1"/>
  <c r="C1305" i="7" s="1"/>
  <c r="D1305" i="7" s="1"/>
  <c r="B1306" i="7" a="1"/>
  <c r="B1306" i="7" s="1"/>
  <c r="C1306" i="7" s="1"/>
  <c r="D1306" i="7" s="1"/>
  <c r="B1307" i="7" a="1"/>
  <c r="B1307" i="7" s="1"/>
  <c r="C1307" i="7" s="1"/>
  <c r="D1307" i="7" s="1"/>
  <c r="B1308" i="7" a="1"/>
  <c r="B1308" i="7" s="1"/>
  <c r="C1308" i="7" s="1"/>
  <c r="D1308" i="7" s="1"/>
  <c r="B1309" i="7" a="1"/>
  <c r="B1309" i="7" s="1"/>
  <c r="C1309" i="7" s="1"/>
  <c r="D1309" i="7" s="1"/>
  <c r="B1310" i="7" a="1"/>
  <c r="B1310" i="7" s="1"/>
  <c r="C1310" i="7" s="1"/>
  <c r="D1310" i="7" s="1"/>
  <c r="B1311" i="7" a="1"/>
  <c r="B1311" i="7" s="1"/>
  <c r="C1311" i="7" s="1"/>
  <c r="D1311" i="7" s="1"/>
  <c r="B1312" i="7" a="1"/>
  <c r="B1312" i="7" s="1"/>
  <c r="C1312" i="7" s="1"/>
  <c r="D1312" i="7" s="1"/>
  <c r="B1313" i="7" a="1"/>
  <c r="B1313" i="7" s="1"/>
  <c r="C1313" i="7" s="1"/>
  <c r="D1313" i="7" s="1"/>
  <c r="B1314" i="7" a="1"/>
  <c r="B1314" i="7" s="1"/>
  <c r="C1314" i="7" s="1"/>
  <c r="D1314" i="7" s="1"/>
  <c r="B1315" i="7" a="1"/>
  <c r="B1315" i="7" s="1"/>
  <c r="C1315" i="7" s="1"/>
  <c r="D1315" i="7" s="1"/>
  <c r="B1316" i="7" a="1"/>
  <c r="B1316" i="7" s="1"/>
  <c r="C1316" i="7" s="1"/>
  <c r="D1316" i="7" s="1"/>
  <c r="B1317" i="7" a="1"/>
  <c r="B1317" i="7" s="1"/>
  <c r="C1317" i="7" s="1"/>
  <c r="D1317" i="7" s="1"/>
  <c r="B1318" i="7" a="1"/>
  <c r="B1318" i="7" s="1"/>
  <c r="C1318" i="7" s="1"/>
  <c r="D1318" i="7" s="1"/>
  <c r="B1319" i="7" a="1"/>
  <c r="B1319" i="7" s="1"/>
  <c r="C1319" i="7" s="1"/>
  <c r="D1319" i="7" s="1"/>
  <c r="B1320" i="7" a="1"/>
  <c r="B1320" i="7" s="1"/>
  <c r="C1320" i="7" s="1"/>
  <c r="D1320" i="7" s="1"/>
  <c r="B1321" i="7" a="1"/>
  <c r="B1321" i="7" s="1"/>
  <c r="C1321" i="7" s="1"/>
  <c r="D1321" i="7" s="1"/>
  <c r="B1322" i="7" a="1"/>
  <c r="B1322" i="7" s="1"/>
  <c r="C1322" i="7" s="1"/>
  <c r="D1322" i="7" s="1"/>
  <c r="B1323" i="7" a="1"/>
  <c r="B1323" i="7" s="1"/>
  <c r="C1323" i="7" s="1"/>
  <c r="D1323" i="7" s="1"/>
  <c r="B1324" i="7" a="1"/>
  <c r="B1324" i="7" s="1"/>
  <c r="C1324" i="7" s="1"/>
  <c r="D1324" i="7" s="1"/>
  <c r="B1325" i="7" a="1"/>
  <c r="B1325" i="7" s="1"/>
  <c r="C1325" i="7" s="1"/>
  <c r="D1325" i="7" s="1"/>
  <c r="B1326" i="7" a="1"/>
  <c r="B1326" i="7" s="1"/>
  <c r="C1326" i="7" s="1"/>
  <c r="D1326" i="7" s="1"/>
  <c r="B1327" i="7" a="1"/>
  <c r="B1327" i="7" s="1"/>
  <c r="C1327" i="7" s="1"/>
  <c r="D1327" i="7" s="1"/>
  <c r="B1328" i="7" a="1"/>
  <c r="B1328" i="7" s="1"/>
  <c r="C1328" i="7" s="1"/>
  <c r="D1328" i="7" s="1"/>
  <c r="B1329" i="7" a="1"/>
  <c r="B1329" i="7" s="1"/>
  <c r="C1329" i="7" s="1"/>
  <c r="D1329" i="7" s="1"/>
  <c r="B1330" i="7" a="1"/>
  <c r="B1330" i="7" s="1"/>
  <c r="C1330" i="7" s="1"/>
  <c r="D1330" i="7" s="1"/>
  <c r="B1331" i="7" a="1"/>
  <c r="B1331" i="7" s="1"/>
  <c r="C1331" i="7" s="1"/>
  <c r="D1331" i="7" s="1"/>
  <c r="B1332" i="7" a="1"/>
  <c r="B1332" i="7" s="1"/>
  <c r="C1332" i="7" s="1"/>
  <c r="D1332" i="7" s="1"/>
  <c r="B1333" i="7" a="1"/>
  <c r="B1333" i="7" s="1"/>
  <c r="C1333" i="7" s="1"/>
  <c r="D1333" i="7" s="1"/>
  <c r="B1334" i="7" a="1"/>
  <c r="B1334" i="7" s="1"/>
  <c r="C1334" i="7" s="1"/>
  <c r="D1334" i="7" s="1"/>
  <c r="B1335" i="7" a="1"/>
  <c r="B1335" i="7" s="1"/>
  <c r="C1335" i="7" s="1"/>
  <c r="D1335" i="7" s="1"/>
  <c r="B1336" i="7" a="1"/>
  <c r="B1336" i="7" s="1"/>
  <c r="C1336" i="7" s="1"/>
  <c r="D1336" i="7" s="1"/>
  <c r="B1337" i="7" a="1"/>
  <c r="B1337" i="7" s="1"/>
  <c r="C1337" i="7" s="1"/>
  <c r="D1337" i="7" s="1"/>
  <c r="B1338" i="7" a="1"/>
  <c r="B1338" i="7" s="1"/>
  <c r="C1338" i="7" s="1"/>
  <c r="D1338" i="7" s="1"/>
  <c r="B1339" i="7" a="1"/>
  <c r="B1339" i="7" s="1"/>
  <c r="C1339" i="7" s="1"/>
  <c r="D1339" i="7" s="1"/>
  <c r="B1340" i="7" a="1"/>
  <c r="B1340" i="7" s="1"/>
  <c r="C1340" i="7" s="1"/>
  <c r="D1340" i="7" s="1"/>
  <c r="B1341" i="7" a="1"/>
  <c r="B1341" i="7" s="1"/>
  <c r="C1341" i="7" s="1"/>
  <c r="D1341" i="7" s="1"/>
  <c r="B1342" i="7" a="1"/>
  <c r="B1342" i="7" s="1"/>
  <c r="C1342" i="7" s="1"/>
  <c r="D1342" i="7" s="1"/>
  <c r="B1343" i="7" a="1"/>
  <c r="B1343" i="7" s="1"/>
  <c r="C1343" i="7" s="1"/>
  <c r="D1343" i="7" s="1"/>
  <c r="B1344" i="7" a="1"/>
  <c r="B1344" i="7" s="1"/>
  <c r="C1344" i="7" s="1"/>
  <c r="D1344" i="7" s="1"/>
  <c r="B1345" i="7" a="1"/>
  <c r="B1345" i="7" s="1"/>
  <c r="C1345" i="7" s="1"/>
  <c r="D1345" i="7" s="1"/>
  <c r="B1346" i="7" a="1"/>
  <c r="B1346" i="7" s="1"/>
  <c r="C1346" i="7" s="1"/>
  <c r="D1346" i="7" s="1"/>
  <c r="B1347" i="7" a="1"/>
  <c r="B1347" i="7" s="1"/>
  <c r="C1347" i="7" s="1"/>
  <c r="D1347" i="7" s="1"/>
  <c r="B1348" i="7" a="1"/>
  <c r="B1348" i="7" s="1"/>
  <c r="C1348" i="7" s="1"/>
  <c r="D1348" i="7" s="1"/>
  <c r="B1349" i="7" a="1"/>
  <c r="B1349" i="7" s="1"/>
  <c r="C1349" i="7" s="1"/>
  <c r="D1349" i="7" s="1"/>
  <c r="B1350" i="7" a="1"/>
  <c r="B1350" i="7" s="1"/>
  <c r="C1350" i="7" s="1"/>
  <c r="D1350" i="7" s="1"/>
  <c r="B1351" i="7" a="1"/>
  <c r="B1351" i="7" s="1"/>
  <c r="C1351" i="7" s="1"/>
  <c r="D1351" i="7" s="1"/>
  <c r="B1352" i="7" a="1"/>
  <c r="B1352" i="7" s="1"/>
  <c r="C1352" i="7" s="1"/>
  <c r="D1352" i="7" s="1"/>
  <c r="B1353" i="7" a="1"/>
  <c r="B1353" i="7" s="1"/>
  <c r="C1353" i="7" s="1"/>
  <c r="D1353" i="7" s="1"/>
  <c r="B1354" i="7" a="1"/>
  <c r="B1354" i="7" s="1"/>
  <c r="C1354" i="7" s="1"/>
  <c r="D1354" i="7" s="1"/>
  <c r="B1355" i="7" a="1"/>
  <c r="B1355" i="7" s="1"/>
  <c r="C1355" i="7" s="1"/>
  <c r="D1355" i="7" s="1"/>
  <c r="B1356" i="7" a="1"/>
  <c r="B1356" i="7" s="1"/>
  <c r="C1356" i="7" s="1"/>
  <c r="D1356" i="7" s="1"/>
  <c r="B1357" i="7" a="1"/>
  <c r="B1357" i="7" s="1"/>
  <c r="C1357" i="7" s="1"/>
  <c r="D1357" i="7" s="1"/>
  <c r="B1358" i="7" a="1"/>
  <c r="B1358" i="7" s="1"/>
  <c r="C1358" i="7" s="1"/>
  <c r="D1358" i="7" s="1"/>
  <c r="B1359" i="7" a="1"/>
  <c r="B1359" i="7" s="1"/>
  <c r="C1359" i="7" s="1"/>
  <c r="D1359" i="7" s="1"/>
  <c r="B1360" i="7" a="1"/>
  <c r="B1360" i="7" s="1"/>
  <c r="C1360" i="7" s="1"/>
  <c r="D1360" i="7" s="1"/>
  <c r="B1361" i="7" a="1"/>
  <c r="B1361" i="7" s="1"/>
  <c r="C1361" i="7" s="1"/>
  <c r="D1361" i="7" s="1"/>
  <c r="B1362" i="7" a="1"/>
  <c r="B1362" i="7" s="1"/>
  <c r="C1362" i="7" s="1"/>
  <c r="D1362" i="7" s="1"/>
  <c r="B1363" i="7" a="1"/>
  <c r="B1363" i="7" s="1"/>
  <c r="C1363" i="7" s="1"/>
  <c r="D1363" i="7" s="1"/>
  <c r="B1364" i="7" a="1"/>
  <c r="B1364" i="7" s="1"/>
  <c r="C1364" i="7" s="1"/>
  <c r="D1364" i="7" s="1"/>
  <c r="B1365" i="7" a="1"/>
  <c r="B1365" i="7" s="1"/>
  <c r="C1365" i="7" s="1"/>
  <c r="D1365" i="7" s="1"/>
  <c r="B1366" i="7" a="1"/>
  <c r="B1366" i="7" s="1"/>
  <c r="C1366" i="7" s="1"/>
  <c r="D1366" i="7" s="1"/>
  <c r="B1367" i="7" a="1"/>
  <c r="B1367" i="7" s="1"/>
  <c r="C1367" i="7" s="1"/>
  <c r="D1367" i="7" s="1"/>
  <c r="B1368" i="7" a="1"/>
  <c r="B1368" i="7" s="1"/>
  <c r="C1368" i="7" s="1"/>
  <c r="D1368" i="7" s="1"/>
  <c r="B1369" i="7" a="1"/>
  <c r="B1369" i="7" s="1"/>
  <c r="C1369" i="7" s="1"/>
  <c r="D1369" i="7" s="1"/>
  <c r="B1370" i="7" a="1"/>
  <c r="B1370" i="7" s="1"/>
  <c r="C1370" i="7" s="1"/>
  <c r="D1370" i="7" s="1"/>
  <c r="B1371" i="7" a="1"/>
  <c r="B1371" i="7" s="1"/>
  <c r="C1371" i="7" s="1"/>
  <c r="D1371" i="7" s="1"/>
  <c r="B1372" i="7" a="1"/>
  <c r="B1372" i="7" s="1"/>
  <c r="C1372" i="7" s="1"/>
  <c r="D1372" i="7" s="1"/>
  <c r="B1373" i="7" a="1"/>
  <c r="B1373" i="7" s="1"/>
  <c r="C1373" i="7" s="1"/>
  <c r="D1373" i="7" s="1"/>
  <c r="B1374" i="7" a="1"/>
  <c r="B1374" i="7" s="1"/>
  <c r="C1374" i="7" s="1"/>
  <c r="D1374" i="7" s="1"/>
  <c r="B1375" i="7" a="1"/>
  <c r="B1375" i="7" s="1"/>
  <c r="C1375" i="7" s="1"/>
  <c r="D1375" i="7" s="1"/>
  <c r="B1376" i="7" a="1"/>
  <c r="B1376" i="7" s="1"/>
  <c r="C1376" i="7" s="1"/>
  <c r="D1376" i="7" s="1"/>
  <c r="B1377" i="7" a="1"/>
  <c r="B1377" i="7" s="1"/>
  <c r="C1377" i="7" s="1"/>
  <c r="D1377" i="7" s="1"/>
  <c r="B1378" i="7" a="1"/>
  <c r="B1378" i="7" s="1"/>
  <c r="C1378" i="7" s="1"/>
  <c r="D1378" i="7" s="1"/>
  <c r="B1379" i="7" a="1"/>
  <c r="B1379" i="7" s="1"/>
  <c r="C1379" i="7" s="1"/>
  <c r="D1379" i="7" s="1"/>
  <c r="B1380" i="7" a="1"/>
  <c r="B1380" i="7" s="1"/>
  <c r="C1380" i="7" s="1"/>
  <c r="D1380" i="7" s="1"/>
  <c r="B1381" i="7" a="1"/>
  <c r="B1381" i="7" s="1"/>
  <c r="C1381" i="7" s="1"/>
  <c r="D1381" i="7" s="1"/>
  <c r="B1382" i="7" a="1"/>
  <c r="B1382" i="7" s="1"/>
  <c r="C1382" i="7" s="1"/>
  <c r="D1382" i="7" s="1"/>
  <c r="B1383" i="7" a="1"/>
  <c r="B1383" i="7" s="1"/>
  <c r="C1383" i="7" s="1"/>
  <c r="D1383" i="7" s="1"/>
  <c r="B1384" i="7" a="1"/>
  <c r="B1384" i="7" s="1"/>
  <c r="C1384" i="7" s="1"/>
  <c r="D1384" i="7" s="1"/>
  <c r="B1385" i="7" a="1"/>
  <c r="B1385" i="7" s="1"/>
  <c r="C1385" i="7" s="1"/>
  <c r="D1385" i="7" s="1"/>
  <c r="B1386" i="7" a="1"/>
  <c r="B1386" i="7" s="1"/>
  <c r="C1386" i="7" s="1"/>
  <c r="D1386" i="7" s="1"/>
  <c r="B1387" i="7" a="1"/>
  <c r="B1387" i="7" s="1"/>
  <c r="C1387" i="7" s="1"/>
  <c r="D1387" i="7" s="1"/>
  <c r="B1388" i="7" a="1"/>
  <c r="B1388" i="7" s="1"/>
  <c r="C1388" i="7" s="1"/>
  <c r="D1388" i="7" s="1"/>
  <c r="B1389" i="7" a="1"/>
  <c r="B1389" i="7" s="1"/>
  <c r="C1389" i="7" s="1"/>
  <c r="D1389" i="7" s="1"/>
  <c r="B1390" i="7" a="1"/>
  <c r="B1390" i="7" s="1"/>
  <c r="C1390" i="7" s="1"/>
  <c r="D1390" i="7" s="1"/>
  <c r="B1391" i="7" a="1"/>
  <c r="B1391" i="7" s="1"/>
  <c r="C1391" i="7" s="1"/>
  <c r="D1391" i="7" s="1"/>
  <c r="B1392" i="7" a="1"/>
  <c r="B1392" i="7" s="1"/>
  <c r="C1392" i="7" s="1"/>
  <c r="D1392" i="7" s="1"/>
  <c r="B1393" i="7" a="1"/>
  <c r="B1393" i="7" s="1"/>
  <c r="C1393" i="7" s="1"/>
  <c r="D1393" i="7" s="1"/>
  <c r="B1394" i="7" a="1"/>
  <c r="B1394" i="7" s="1"/>
  <c r="C1394" i="7" s="1"/>
  <c r="D1394" i="7" s="1"/>
  <c r="B1395" i="7" a="1"/>
  <c r="B1395" i="7" s="1"/>
  <c r="C1395" i="7" s="1"/>
  <c r="D1395" i="7" s="1"/>
  <c r="B1396" i="7" a="1"/>
  <c r="B1396" i="7" s="1"/>
  <c r="C1396" i="7" s="1"/>
  <c r="D1396" i="7" s="1"/>
  <c r="B1397" i="7" a="1"/>
  <c r="B1397" i="7" s="1"/>
  <c r="C1397" i="7" s="1"/>
  <c r="D1397" i="7" s="1"/>
  <c r="B1398" i="7" a="1"/>
  <c r="B1398" i="7" s="1"/>
  <c r="C1398" i="7" s="1"/>
  <c r="D1398" i="7" s="1"/>
  <c r="B1399" i="7" a="1"/>
  <c r="B1399" i="7" s="1"/>
  <c r="C1399" i="7" s="1"/>
  <c r="D1399" i="7" s="1"/>
  <c r="B1400" i="7" a="1"/>
  <c r="B1400" i="7" s="1"/>
  <c r="C1400" i="7" s="1"/>
  <c r="D1400" i="7" s="1"/>
  <c r="B1401" i="7" a="1"/>
  <c r="B1401" i="7" s="1"/>
  <c r="C1401" i="7" s="1"/>
  <c r="D1401" i="7" s="1"/>
  <c r="B1402" i="7" a="1"/>
  <c r="B1402" i="7" s="1"/>
  <c r="C1402" i="7" s="1"/>
  <c r="D1402" i="7" s="1"/>
  <c r="B1403" i="7" a="1"/>
  <c r="B1403" i="7" s="1"/>
  <c r="C1403" i="7" s="1"/>
  <c r="D1403" i="7" s="1"/>
  <c r="B1404" i="7" a="1"/>
  <c r="B1404" i="7" s="1"/>
  <c r="C1404" i="7" s="1"/>
  <c r="D1404" i="7" s="1"/>
  <c r="B1405" i="7" a="1"/>
  <c r="B1405" i="7" s="1"/>
  <c r="C1405" i="7" s="1"/>
  <c r="D1405" i="7" s="1"/>
  <c r="B1406" i="7" a="1"/>
  <c r="B1406" i="7" s="1"/>
  <c r="C1406" i="7" s="1"/>
  <c r="D1406" i="7" s="1"/>
  <c r="B1407" i="7" a="1"/>
  <c r="B1407" i="7" s="1"/>
  <c r="C1407" i="7" s="1"/>
  <c r="D1407" i="7" s="1"/>
  <c r="B1408" i="7" a="1"/>
  <c r="B1408" i="7" s="1"/>
  <c r="C1408" i="7" s="1"/>
  <c r="D1408" i="7" s="1"/>
  <c r="B1409" i="7" a="1"/>
  <c r="B1409" i="7" s="1"/>
  <c r="C1409" i="7" s="1"/>
  <c r="D1409" i="7" s="1"/>
  <c r="B1410" i="7" a="1"/>
  <c r="B1410" i="7" s="1"/>
  <c r="C1410" i="7" s="1"/>
  <c r="D1410" i="7" s="1"/>
  <c r="B1411" i="7" a="1"/>
  <c r="B1411" i="7" s="1"/>
  <c r="C1411" i="7" s="1"/>
  <c r="D1411" i="7" s="1"/>
  <c r="B1412" i="7" a="1"/>
  <c r="B1412" i="7" s="1"/>
  <c r="C1412" i="7" s="1"/>
  <c r="D1412" i="7" s="1"/>
  <c r="B1413" i="7" a="1"/>
  <c r="B1413" i="7" s="1"/>
  <c r="C1413" i="7" s="1"/>
  <c r="D1413" i="7" s="1"/>
  <c r="B1414" i="7" a="1"/>
  <c r="B1414" i="7" s="1"/>
  <c r="C1414" i="7" s="1"/>
  <c r="D1414" i="7" s="1"/>
  <c r="B1415" i="7" a="1"/>
  <c r="B1415" i="7" s="1"/>
  <c r="C1415" i="7" s="1"/>
  <c r="D1415" i="7" s="1"/>
  <c r="B1416" i="7" a="1"/>
  <c r="B1416" i="7" s="1"/>
  <c r="C1416" i="7" s="1"/>
  <c r="D1416" i="7" s="1"/>
  <c r="B1417" i="7" a="1"/>
  <c r="B1417" i="7" s="1"/>
  <c r="C1417" i="7" s="1"/>
  <c r="D1417" i="7" s="1"/>
  <c r="B1418" i="7" a="1"/>
  <c r="B1418" i="7" s="1"/>
  <c r="C1418" i="7" s="1"/>
  <c r="D1418" i="7" s="1"/>
  <c r="B1419" i="7" a="1"/>
  <c r="B1419" i="7" s="1"/>
  <c r="C1419" i="7" s="1"/>
  <c r="D1419" i="7" s="1"/>
  <c r="B1420" i="7" a="1"/>
  <c r="B1420" i="7" s="1"/>
  <c r="C1420" i="7" s="1"/>
  <c r="D1420" i="7" s="1"/>
  <c r="B1421" i="7" a="1"/>
  <c r="B1421" i="7" s="1"/>
  <c r="C1421" i="7" s="1"/>
  <c r="D1421" i="7" s="1"/>
  <c r="B1422" i="7" a="1"/>
  <c r="B1422" i="7" s="1"/>
  <c r="C1422" i="7" s="1"/>
  <c r="D1422" i="7" s="1"/>
  <c r="B1423" i="7" a="1"/>
  <c r="B1423" i="7" s="1"/>
  <c r="C1423" i="7" s="1"/>
  <c r="D1423" i="7" s="1"/>
  <c r="B1424" i="7" a="1"/>
  <c r="B1424" i="7" s="1"/>
  <c r="C1424" i="7" s="1"/>
  <c r="D1424" i="7" s="1"/>
  <c r="B1425" i="7" a="1"/>
  <c r="B1425" i="7" s="1"/>
  <c r="C1425" i="7" s="1"/>
  <c r="D1425" i="7" s="1"/>
  <c r="B1426" i="7" a="1"/>
  <c r="B1426" i="7" s="1"/>
  <c r="C1426" i="7" s="1"/>
  <c r="D1426" i="7" s="1"/>
  <c r="B1427" i="7" a="1"/>
  <c r="B1427" i="7" s="1"/>
  <c r="C1427" i="7" s="1"/>
  <c r="D1427" i="7" s="1"/>
  <c r="B1428" i="7" a="1"/>
  <c r="B1428" i="7" s="1"/>
  <c r="C1428" i="7" s="1"/>
  <c r="D1428" i="7" s="1"/>
  <c r="B1429" i="7" a="1"/>
  <c r="B1429" i="7" s="1"/>
  <c r="C1429" i="7" s="1"/>
  <c r="D1429" i="7" s="1"/>
  <c r="B1430" i="7" a="1"/>
  <c r="B1430" i="7" s="1"/>
  <c r="C1430" i="7" s="1"/>
  <c r="D1430" i="7" s="1"/>
  <c r="B1431" i="7" a="1"/>
  <c r="B1431" i="7" s="1"/>
  <c r="C1431" i="7" s="1"/>
  <c r="D1431" i="7" s="1"/>
  <c r="B1432" i="7" a="1"/>
  <c r="B1432" i="7" s="1"/>
  <c r="C1432" i="7" s="1"/>
  <c r="D1432" i="7" s="1"/>
  <c r="B1433" i="7" a="1"/>
  <c r="B1433" i="7" s="1"/>
  <c r="C1433" i="7" s="1"/>
  <c r="D1433" i="7" s="1"/>
  <c r="B1434" i="7" a="1"/>
  <c r="B1434" i="7" s="1"/>
  <c r="C1434" i="7" s="1"/>
  <c r="D1434" i="7" s="1"/>
  <c r="B1435" i="7" a="1"/>
  <c r="B1435" i="7" s="1"/>
  <c r="C1435" i="7" s="1"/>
  <c r="D1435" i="7" s="1"/>
  <c r="B1436" i="7" a="1"/>
  <c r="B1436" i="7" s="1"/>
  <c r="C1436" i="7" s="1"/>
  <c r="D1436" i="7" s="1"/>
  <c r="B1437" i="7" a="1"/>
  <c r="B1437" i="7" s="1"/>
  <c r="C1437" i="7" s="1"/>
  <c r="D1437" i="7" s="1"/>
  <c r="B1438" i="7" a="1"/>
  <c r="B1438" i="7" s="1"/>
  <c r="C1438" i="7" s="1"/>
  <c r="D1438" i="7" s="1"/>
  <c r="B1439" i="7" a="1"/>
  <c r="B1439" i="7" s="1"/>
  <c r="C1439" i="7" s="1"/>
  <c r="D1439" i="7" s="1"/>
  <c r="B1440" i="7" a="1"/>
  <c r="B1440" i="7" s="1"/>
  <c r="C1440" i="7" s="1"/>
  <c r="D1440" i="7" s="1"/>
  <c r="B1441" i="7" a="1"/>
  <c r="B1441" i="7" s="1"/>
  <c r="C1441" i="7" s="1"/>
  <c r="D1441" i="7" s="1"/>
  <c r="B1442" i="7" a="1"/>
  <c r="B1442" i="7" s="1"/>
  <c r="C1442" i="7" s="1"/>
  <c r="D1442" i="7" s="1"/>
  <c r="B1443" i="7" a="1"/>
  <c r="B1443" i="7" s="1"/>
  <c r="C1443" i="7" s="1"/>
  <c r="D1443" i="7" s="1"/>
  <c r="B1444" i="7" a="1"/>
  <c r="B1444" i="7" s="1"/>
  <c r="C1444" i="7" s="1"/>
  <c r="D1444" i="7" s="1"/>
  <c r="B1445" i="7" a="1"/>
  <c r="B1445" i="7" s="1"/>
  <c r="C1445" i="7" s="1"/>
  <c r="D1445" i="7" s="1"/>
  <c r="B1446" i="7" a="1"/>
  <c r="B1446" i="7" s="1"/>
  <c r="C1446" i="7" s="1"/>
  <c r="D1446" i="7" s="1"/>
  <c r="B1447" i="7" a="1"/>
  <c r="B1447" i="7" s="1"/>
  <c r="C1447" i="7" s="1"/>
  <c r="D1447" i="7" s="1"/>
  <c r="B1448" i="7" a="1"/>
  <c r="B1448" i="7" s="1"/>
  <c r="C1448" i="7" s="1"/>
  <c r="D1448" i="7" s="1"/>
  <c r="B1449" i="7" a="1"/>
  <c r="B1449" i="7" s="1"/>
  <c r="C1449" i="7" s="1"/>
  <c r="D1449" i="7" s="1"/>
  <c r="B1450" i="7" a="1"/>
  <c r="B1450" i="7" s="1"/>
  <c r="C1450" i="7" s="1"/>
  <c r="D1450" i="7" s="1"/>
  <c r="B1451" i="7" a="1"/>
  <c r="B1451" i="7" s="1"/>
  <c r="C1451" i="7" s="1"/>
  <c r="D1451" i="7" s="1"/>
  <c r="B1452" i="7" a="1"/>
  <c r="B1452" i="7" s="1"/>
  <c r="C1452" i="7" s="1"/>
  <c r="D1452" i="7" s="1"/>
  <c r="B1453" i="7" a="1"/>
  <c r="B1453" i="7" s="1"/>
  <c r="C1453" i="7" s="1"/>
  <c r="D1453" i="7" s="1"/>
  <c r="B1454" i="7" a="1"/>
  <c r="B1454" i="7" s="1"/>
  <c r="C1454" i="7" s="1"/>
  <c r="D1454" i="7" s="1"/>
  <c r="B1455" i="7" a="1"/>
  <c r="B1455" i="7" s="1"/>
  <c r="C1455" i="7" s="1"/>
  <c r="D1455" i="7" s="1"/>
  <c r="B1456" i="7" a="1"/>
  <c r="B1456" i="7" s="1"/>
  <c r="C1456" i="7" s="1"/>
  <c r="D1456" i="7" s="1"/>
  <c r="B1457" i="7" a="1"/>
  <c r="B1457" i="7" s="1"/>
  <c r="C1457" i="7" s="1"/>
  <c r="D1457" i="7" s="1"/>
  <c r="B1458" i="7" a="1"/>
  <c r="B1458" i="7" s="1"/>
  <c r="C1458" i="7" s="1"/>
  <c r="D1458" i="7" s="1"/>
  <c r="B1459" i="7" a="1"/>
  <c r="B1459" i="7" s="1"/>
  <c r="C1459" i="7" s="1"/>
  <c r="D1459" i="7" s="1"/>
  <c r="B1460" i="7" a="1"/>
  <c r="B1460" i="7" s="1"/>
  <c r="C1460" i="7" s="1"/>
  <c r="D1460" i="7" s="1"/>
  <c r="B1461" i="7" a="1"/>
  <c r="B1461" i="7" s="1"/>
  <c r="C1461" i="7" s="1"/>
  <c r="D1461" i="7" s="1"/>
  <c r="B1462" i="7" a="1"/>
  <c r="B1462" i="7" s="1"/>
  <c r="C1462" i="7" s="1"/>
  <c r="D1462" i="7" s="1"/>
  <c r="B1463" i="7" a="1"/>
  <c r="B1463" i="7" s="1"/>
  <c r="C1463" i="7" s="1"/>
  <c r="D1463" i="7" s="1"/>
  <c r="B1464" i="7" a="1"/>
  <c r="B1464" i="7" s="1"/>
  <c r="C1464" i="7" s="1"/>
  <c r="D1464" i="7" s="1"/>
  <c r="B1465" i="7" a="1"/>
  <c r="B1465" i="7" s="1"/>
  <c r="C1465" i="7" s="1"/>
  <c r="D1465" i="7" s="1"/>
  <c r="B1466" i="7" a="1"/>
  <c r="B1466" i="7" s="1"/>
  <c r="C1466" i="7" s="1"/>
  <c r="D1466" i="7" s="1"/>
  <c r="B1467" i="7" a="1"/>
  <c r="B1467" i="7" s="1"/>
  <c r="C1467" i="7" s="1"/>
  <c r="D1467" i="7" s="1"/>
  <c r="B1468" i="7" a="1"/>
  <c r="B1468" i="7" s="1"/>
  <c r="C1468" i="7" s="1"/>
  <c r="D1468" i="7" s="1"/>
  <c r="B1469" i="7" a="1"/>
  <c r="B1469" i="7" s="1"/>
  <c r="C1469" i="7" s="1"/>
  <c r="D1469" i="7" s="1"/>
  <c r="B1470" i="7" a="1"/>
  <c r="B1470" i="7" s="1"/>
  <c r="C1470" i="7" s="1"/>
  <c r="D1470" i="7" s="1"/>
  <c r="B1471" i="7" a="1"/>
  <c r="B1471" i="7" s="1"/>
  <c r="C1471" i="7" s="1"/>
  <c r="D1471" i="7" s="1"/>
  <c r="B1472" i="7" a="1"/>
  <c r="B1472" i="7" s="1"/>
  <c r="C1472" i="7" s="1"/>
  <c r="D1472" i="7" s="1"/>
  <c r="B1473" i="7" a="1"/>
  <c r="B1473" i="7" s="1"/>
  <c r="C1473" i="7" s="1"/>
  <c r="D1473" i="7" s="1"/>
  <c r="B1474" i="7" a="1"/>
  <c r="B1474" i="7" s="1"/>
  <c r="C1474" i="7" s="1"/>
  <c r="D1474" i="7" s="1"/>
  <c r="B1475" i="7" a="1"/>
  <c r="B1475" i="7" s="1"/>
  <c r="C1475" i="7" s="1"/>
  <c r="D1475" i="7" s="1"/>
  <c r="B1476" i="7" a="1"/>
  <c r="B1476" i="7" s="1"/>
  <c r="C1476" i="7" s="1"/>
  <c r="D1476" i="7" s="1"/>
  <c r="B1477" i="7" a="1"/>
  <c r="B1477" i="7" s="1"/>
  <c r="C1477" i="7" s="1"/>
  <c r="D1477" i="7" s="1"/>
  <c r="B1478" i="7" a="1"/>
  <c r="B1478" i="7" s="1"/>
  <c r="C1478" i="7" s="1"/>
  <c r="D1478" i="7" s="1"/>
  <c r="B1479" i="7" a="1"/>
  <c r="B1479" i="7" s="1"/>
  <c r="C1479" i="7" s="1"/>
  <c r="D1479" i="7" s="1"/>
  <c r="B1480" i="7" a="1"/>
  <c r="B1480" i="7" s="1"/>
  <c r="C1480" i="7" s="1"/>
  <c r="D1480" i="7" s="1"/>
  <c r="B1481" i="7" a="1"/>
  <c r="B1481" i="7" s="1"/>
  <c r="C1481" i="7" s="1"/>
  <c r="D1481" i="7" s="1"/>
  <c r="B1482" i="7" a="1"/>
  <c r="B1482" i="7" s="1"/>
  <c r="C1482" i="7" s="1"/>
  <c r="D1482" i="7" s="1"/>
  <c r="B1483" i="7" a="1"/>
  <c r="B1483" i="7" s="1"/>
  <c r="C1483" i="7" s="1"/>
  <c r="D1483" i="7" s="1"/>
  <c r="B1484" i="7" a="1"/>
  <c r="B1484" i="7" s="1"/>
  <c r="C1484" i="7" s="1"/>
  <c r="D1484" i="7" s="1"/>
  <c r="B1485" i="7" a="1"/>
  <c r="B1485" i="7" s="1"/>
  <c r="C1485" i="7" s="1"/>
  <c r="D1485" i="7" s="1"/>
  <c r="B1486" i="7" a="1"/>
  <c r="B1486" i="7" s="1"/>
  <c r="C1486" i="7" s="1"/>
  <c r="D1486" i="7" s="1"/>
  <c r="B1487" i="7" a="1"/>
  <c r="B1487" i="7" s="1"/>
  <c r="C1487" i="7" s="1"/>
  <c r="D1487" i="7" s="1"/>
  <c r="B1488" i="7" a="1"/>
  <c r="B1488" i="7" s="1"/>
  <c r="C1488" i="7" s="1"/>
  <c r="D1488" i="7" s="1"/>
  <c r="B1489" i="7" a="1"/>
  <c r="B1489" i="7" s="1"/>
  <c r="C1489" i="7" s="1"/>
  <c r="D1489" i="7" s="1"/>
  <c r="B1490" i="7" a="1"/>
  <c r="B1490" i="7" s="1"/>
  <c r="C1490" i="7" s="1"/>
  <c r="D1490" i="7" s="1"/>
  <c r="B1491" i="7" a="1"/>
  <c r="B1491" i="7" s="1"/>
  <c r="C1491" i="7" s="1"/>
  <c r="D1491" i="7" s="1"/>
  <c r="B1492" i="7" a="1"/>
  <c r="B1492" i="7" s="1"/>
  <c r="C1492" i="7" s="1"/>
  <c r="D1492" i="7" s="1"/>
  <c r="B1493" i="7" a="1"/>
  <c r="B1493" i="7" s="1"/>
  <c r="C1493" i="7" s="1"/>
  <c r="D1493" i="7" s="1"/>
  <c r="B1494" i="7" a="1"/>
  <c r="B1494" i="7" s="1"/>
  <c r="C1494" i="7" s="1"/>
  <c r="D1494" i="7" s="1"/>
  <c r="B1495" i="7" a="1"/>
  <c r="B1495" i="7" s="1"/>
  <c r="C1495" i="7" s="1"/>
  <c r="D1495" i="7" s="1"/>
  <c r="B1496" i="7" a="1"/>
  <c r="B1496" i="7" s="1"/>
  <c r="C1496" i="7" s="1"/>
  <c r="D1496" i="7" s="1"/>
  <c r="B1497" i="7" a="1"/>
  <c r="B1497" i="7" s="1"/>
  <c r="C1497" i="7" s="1"/>
  <c r="D1497" i="7" s="1"/>
  <c r="B1498" i="7" a="1"/>
  <c r="B1498" i="7" s="1"/>
  <c r="C1498" i="7" s="1"/>
  <c r="D1498" i="7" s="1"/>
  <c r="B1499" i="7" a="1"/>
  <c r="B1499" i="7" s="1"/>
  <c r="C1499" i="7" s="1"/>
  <c r="D1499" i="7" s="1"/>
  <c r="B1500" i="7" a="1"/>
  <c r="B1500" i="7" s="1"/>
  <c r="C1500" i="7" s="1"/>
  <c r="D1500" i="7" s="1"/>
  <c r="B1501" i="7" a="1"/>
  <c r="B1501" i="7" s="1"/>
  <c r="C1501" i="7" s="1"/>
  <c r="D1501" i="7" s="1"/>
  <c r="B1502" i="7" a="1"/>
  <c r="B1502" i="7" s="1"/>
  <c r="C1502" i="7" s="1"/>
  <c r="D1502" i="7" s="1"/>
  <c r="B1503" i="7" a="1"/>
  <c r="B1503" i="7" s="1"/>
  <c r="C1503" i="7" s="1"/>
  <c r="D1503" i="7" s="1"/>
  <c r="B1504" i="7" a="1"/>
  <c r="B1504" i="7" s="1"/>
  <c r="C1504" i="7" s="1"/>
  <c r="D1504" i="7" s="1"/>
  <c r="B1505" i="7" a="1"/>
  <c r="B1505" i="7" s="1"/>
  <c r="C1505" i="7" s="1"/>
  <c r="D1505" i="7" s="1"/>
  <c r="B1506" i="7" a="1"/>
  <c r="B1506" i="7" s="1"/>
  <c r="C1506" i="7" s="1"/>
  <c r="D1506" i="7" s="1"/>
  <c r="B1507" i="7" a="1"/>
  <c r="B1507" i="7" s="1"/>
  <c r="C1507" i="7" s="1"/>
  <c r="D1507" i="7" s="1"/>
  <c r="B1508" i="7" a="1"/>
  <c r="B1508" i="7" s="1"/>
  <c r="C1508" i="7" s="1"/>
  <c r="D1508" i="7" s="1"/>
  <c r="B1509" i="7" a="1"/>
  <c r="B1509" i="7" s="1"/>
  <c r="C1509" i="7" s="1"/>
  <c r="D1509" i="7" s="1"/>
  <c r="B1510" i="7" a="1"/>
  <c r="B1510" i="7" s="1"/>
  <c r="C1510" i="7" s="1"/>
  <c r="D1510" i="7" s="1"/>
  <c r="B1511" i="7" a="1"/>
  <c r="B1511" i="7" s="1"/>
  <c r="C1511" i="7" s="1"/>
  <c r="D1511" i="7" s="1"/>
  <c r="B1512" i="7" a="1"/>
  <c r="B1512" i="7" s="1"/>
  <c r="C1512" i="7" s="1"/>
  <c r="D1512" i="7" s="1"/>
  <c r="B1513" i="7" a="1"/>
  <c r="B1513" i="7" s="1"/>
  <c r="C1513" i="7" s="1"/>
  <c r="D1513" i="7" s="1"/>
  <c r="B1514" i="7" a="1"/>
  <c r="B1514" i="7" s="1"/>
  <c r="C1514" i="7" s="1"/>
  <c r="D1514" i="7" s="1"/>
  <c r="B1515" i="7" a="1"/>
  <c r="B1515" i="7" s="1"/>
  <c r="C1515" i="7" s="1"/>
  <c r="D1515" i="7" s="1"/>
  <c r="B1516" i="7" a="1"/>
  <c r="B1516" i="7" s="1"/>
  <c r="C1516" i="7" s="1"/>
  <c r="D1516" i="7" s="1"/>
  <c r="B1517" i="7" a="1"/>
  <c r="B1517" i="7" s="1"/>
  <c r="C1517" i="7" s="1"/>
  <c r="D1517" i="7" s="1"/>
  <c r="B1518" i="7" a="1"/>
  <c r="B1518" i="7" s="1"/>
  <c r="C1518" i="7" s="1"/>
  <c r="D1518" i="7" s="1"/>
  <c r="B1519" i="7" a="1"/>
  <c r="B1519" i="7" s="1"/>
  <c r="C1519" i="7" s="1"/>
  <c r="D1519" i="7" s="1"/>
  <c r="B1520" i="7" a="1"/>
  <c r="B1520" i="7" s="1"/>
  <c r="C1520" i="7" s="1"/>
  <c r="D1520" i="7" s="1"/>
  <c r="B1521" i="7" a="1"/>
  <c r="B1521" i="7" s="1"/>
  <c r="C1521" i="7" s="1"/>
  <c r="D1521" i="7" s="1"/>
  <c r="B1522" i="7" a="1"/>
  <c r="B1522" i="7" s="1"/>
  <c r="C1522" i="7" s="1"/>
  <c r="D1522" i="7" s="1"/>
  <c r="B1523" i="7" a="1"/>
  <c r="B1523" i="7" s="1"/>
  <c r="C1523" i="7" s="1"/>
  <c r="D1523" i="7" s="1"/>
  <c r="B1524" i="7" a="1"/>
  <c r="B1524" i="7" s="1"/>
  <c r="C1524" i="7" s="1"/>
  <c r="D1524" i="7" s="1"/>
  <c r="B1525" i="7" a="1"/>
  <c r="B1525" i="7" s="1"/>
  <c r="C1525" i="7" s="1"/>
  <c r="D1525" i="7" s="1"/>
  <c r="B1526" i="7" a="1"/>
  <c r="B1526" i="7" s="1"/>
  <c r="C1526" i="7" s="1"/>
  <c r="D1526" i="7" s="1"/>
  <c r="B1527" i="7" a="1"/>
  <c r="B1527" i="7" s="1"/>
  <c r="C1527" i="7" s="1"/>
  <c r="D1527" i="7" s="1"/>
  <c r="B1528" i="7" a="1"/>
  <c r="B1528" i="7" s="1"/>
  <c r="C1528" i="7" s="1"/>
  <c r="D1528" i="7" s="1"/>
  <c r="B1529" i="7" a="1"/>
  <c r="B1529" i="7" s="1"/>
  <c r="C1529" i="7" s="1"/>
  <c r="D1529" i="7" s="1"/>
  <c r="B1530" i="7" a="1"/>
  <c r="B1530" i="7" s="1"/>
  <c r="C1530" i="7" s="1"/>
  <c r="D1530" i="7" s="1"/>
  <c r="B1531" i="7" a="1"/>
  <c r="B1531" i="7" s="1"/>
  <c r="C1531" i="7" s="1"/>
  <c r="D1531" i="7" s="1"/>
  <c r="B1532" i="7" a="1"/>
  <c r="B1532" i="7" s="1"/>
  <c r="C1532" i="7" s="1"/>
  <c r="D1532" i="7" s="1"/>
  <c r="B1533" i="7" a="1"/>
  <c r="B1533" i="7" s="1"/>
  <c r="C1533" i="7" s="1"/>
  <c r="D1533" i="7" s="1"/>
  <c r="B1534" i="7" a="1"/>
  <c r="B1534" i="7" s="1"/>
  <c r="C1534" i="7" s="1"/>
  <c r="D1534" i="7" s="1"/>
  <c r="B1535" i="7" a="1"/>
  <c r="B1535" i="7" s="1"/>
  <c r="C1535" i="7" s="1"/>
  <c r="D1535" i="7" s="1"/>
  <c r="B1536" i="7" a="1"/>
  <c r="B1536" i="7" s="1"/>
  <c r="C1536" i="7" s="1"/>
  <c r="D1536" i="7" s="1"/>
  <c r="B1537" i="7" a="1"/>
  <c r="B1537" i="7" s="1"/>
  <c r="C1537" i="7" s="1"/>
  <c r="D1537" i="7" s="1"/>
  <c r="B1538" i="7" a="1"/>
  <c r="B1538" i="7" s="1"/>
  <c r="C1538" i="7" s="1"/>
  <c r="D1538" i="7" s="1"/>
  <c r="B1539" i="7" a="1"/>
  <c r="B1539" i="7" s="1"/>
  <c r="C1539" i="7" s="1"/>
  <c r="D1539" i="7" s="1"/>
  <c r="B1540" i="7" a="1"/>
  <c r="B1540" i="7" s="1"/>
  <c r="C1540" i="7" s="1"/>
  <c r="D1540" i="7" s="1"/>
  <c r="B1541" i="7" a="1"/>
  <c r="B1541" i="7" s="1"/>
  <c r="C1541" i="7" s="1"/>
  <c r="D1541" i="7" s="1"/>
  <c r="B1542" i="7" a="1"/>
  <c r="B1542" i="7" s="1"/>
  <c r="C1542" i="7" s="1"/>
  <c r="D1542" i="7" s="1"/>
  <c r="B1543" i="7" a="1"/>
  <c r="B1543" i="7" s="1"/>
  <c r="C1543" i="7" s="1"/>
  <c r="D1543" i="7" s="1"/>
  <c r="B1544" i="7" a="1"/>
  <c r="B1544" i="7" s="1"/>
  <c r="C1544" i="7" s="1"/>
  <c r="D1544" i="7" s="1"/>
  <c r="B1545" i="7" a="1"/>
  <c r="B1545" i="7" s="1"/>
  <c r="C1545" i="7" s="1"/>
  <c r="D1545" i="7" s="1"/>
  <c r="B1546" i="7" a="1"/>
  <c r="B1546" i="7" s="1"/>
  <c r="C1546" i="7" s="1"/>
  <c r="D1546" i="7" s="1"/>
  <c r="B1547" i="7" a="1"/>
  <c r="B1547" i="7" s="1"/>
  <c r="C1547" i="7" s="1"/>
  <c r="D1547" i="7" s="1"/>
  <c r="B1548" i="7" a="1"/>
  <c r="B1548" i="7" s="1"/>
  <c r="C1548" i="7" s="1"/>
  <c r="D1548" i="7" s="1"/>
  <c r="B1549" i="7" a="1"/>
  <c r="B1549" i="7" s="1"/>
  <c r="C1549" i="7" s="1"/>
  <c r="D1549" i="7" s="1"/>
  <c r="B1550" i="7" a="1"/>
  <c r="B1550" i="7" s="1"/>
  <c r="C1550" i="7" s="1"/>
  <c r="D1550" i="7" s="1"/>
  <c r="B1551" i="7" a="1"/>
  <c r="B1551" i="7" s="1"/>
  <c r="C1551" i="7" s="1"/>
  <c r="D1551" i="7" s="1"/>
  <c r="B1552" i="7" a="1"/>
  <c r="B1552" i="7" s="1"/>
  <c r="C1552" i="7" s="1"/>
  <c r="D1552" i="7" s="1"/>
  <c r="B1553" i="7" a="1"/>
  <c r="B1553" i="7" s="1"/>
  <c r="C1553" i="7" s="1"/>
  <c r="D1553" i="7" s="1"/>
  <c r="B1554" i="7" a="1"/>
  <c r="B1554" i="7" s="1"/>
  <c r="C1554" i="7" s="1"/>
  <c r="D1554" i="7" s="1"/>
  <c r="B1555" i="7" a="1"/>
  <c r="B1555" i="7" s="1"/>
  <c r="C1555" i="7" s="1"/>
  <c r="D1555" i="7" s="1"/>
  <c r="B1556" i="7" a="1"/>
  <c r="B1556" i="7" s="1"/>
  <c r="C1556" i="7" s="1"/>
  <c r="D1556" i="7" s="1"/>
  <c r="B1557" i="7" a="1"/>
  <c r="B1557" i="7" s="1"/>
  <c r="C1557" i="7" s="1"/>
  <c r="D1557" i="7" s="1"/>
  <c r="B1558" i="7" a="1"/>
  <c r="B1558" i="7" s="1"/>
  <c r="C1558" i="7" s="1"/>
  <c r="D1558" i="7" s="1"/>
  <c r="B1559" i="7" a="1"/>
  <c r="B1559" i="7" s="1"/>
  <c r="C1559" i="7" s="1"/>
  <c r="D1559" i="7" s="1"/>
  <c r="B1560" i="7" a="1"/>
  <c r="B1560" i="7" s="1"/>
  <c r="C1560" i="7" s="1"/>
  <c r="D1560" i="7" s="1"/>
  <c r="B1561" i="7" a="1"/>
  <c r="B1561" i="7" s="1"/>
  <c r="C1561" i="7" s="1"/>
  <c r="D1561" i="7" s="1"/>
  <c r="B1562" i="7" a="1"/>
  <c r="B1562" i="7" s="1"/>
  <c r="C1562" i="7" s="1"/>
  <c r="D1562" i="7" s="1"/>
  <c r="B1563" i="7" a="1"/>
  <c r="B1563" i="7" s="1"/>
  <c r="C1563" i="7" s="1"/>
  <c r="D1563" i="7" s="1"/>
  <c r="B1564" i="7" a="1"/>
  <c r="B1564" i="7" s="1"/>
  <c r="C1564" i="7" s="1"/>
  <c r="D1564" i="7" s="1"/>
  <c r="B1565" i="7" a="1"/>
  <c r="B1565" i="7" s="1"/>
  <c r="C1565" i="7" s="1"/>
  <c r="D1565" i="7" s="1"/>
  <c r="B1566" i="7" a="1"/>
  <c r="B1566" i="7" s="1"/>
  <c r="C1566" i="7" s="1"/>
  <c r="D1566" i="7" s="1"/>
  <c r="B1567" i="7" a="1"/>
  <c r="B1567" i="7" s="1"/>
  <c r="C1567" i="7" s="1"/>
  <c r="D1567" i="7" s="1"/>
  <c r="B1568" i="7" a="1"/>
  <c r="B1568" i="7" s="1"/>
  <c r="C1568" i="7" s="1"/>
  <c r="D1568" i="7" s="1"/>
  <c r="B1569" i="7" a="1"/>
  <c r="B1569" i="7" s="1"/>
  <c r="C1569" i="7" s="1"/>
  <c r="D1569" i="7" s="1"/>
  <c r="B1570" i="7" a="1"/>
  <c r="B1570" i="7" s="1"/>
  <c r="C1570" i="7" s="1"/>
  <c r="D1570" i="7" s="1"/>
  <c r="B1571" i="7" a="1"/>
  <c r="B1571" i="7" s="1"/>
  <c r="C1571" i="7" s="1"/>
  <c r="D1571" i="7" s="1"/>
  <c r="B1572" i="7" a="1"/>
  <c r="B1572" i="7" s="1"/>
  <c r="C1572" i="7" s="1"/>
  <c r="D1572" i="7" s="1"/>
  <c r="B1573" i="7" a="1"/>
  <c r="B1573" i="7" s="1"/>
  <c r="C1573" i="7" s="1"/>
  <c r="D1573" i="7" s="1"/>
  <c r="B1574" i="7" a="1"/>
  <c r="B1574" i="7" s="1"/>
  <c r="C1574" i="7" s="1"/>
  <c r="D1574" i="7" s="1"/>
  <c r="B1575" i="7" a="1"/>
  <c r="B1575" i="7" s="1"/>
  <c r="C1575" i="7" s="1"/>
  <c r="D1575" i="7" s="1"/>
  <c r="B1576" i="7" a="1"/>
  <c r="B1576" i="7" s="1"/>
  <c r="C1576" i="7" s="1"/>
  <c r="D1576" i="7" s="1"/>
  <c r="B1577" i="7" a="1"/>
  <c r="B1577" i="7" s="1"/>
  <c r="C1577" i="7" s="1"/>
  <c r="D1577" i="7" s="1"/>
  <c r="B1578" i="7" a="1"/>
  <c r="B1578" i="7" s="1"/>
  <c r="C1578" i="7" s="1"/>
  <c r="D1578" i="7" s="1"/>
  <c r="B1579" i="7" a="1"/>
  <c r="B1579" i="7" s="1"/>
  <c r="C1579" i="7" s="1"/>
  <c r="D1579" i="7" s="1"/>
  <c r="B1580" i="7" a="1"/>
  <c r="B1580" i="7" s="1"/>
  <c r="C1580" i="7" s="1"/>
  <c r="D1580" i="7" s="1"/>
  <c r="B1581" i="7" a="1"/>
  <c r="B1581" i="7" s="1"/>
  <c r="C1581" i="7" s="1"/>
  <c r="D1581" i="7" s="1"/>
  <c r="B1582" i="7" a="1"/>
  <c r="B1582" i="7" s="1"/>
  <c r="C1582" i="7" s="1"/>
  <c r="D1582" i="7" s="1"/>
  <c r="B1583" i="7" a="1"/>
  <c r="B1583" i="7" s="1"/>
  <c r="C1583" i="7" s="1"/>
  <c r="D1583" i="7" s="1"/>
  <c r="B1584" i="7" a="1"/>
  <c r="B1584" i="7" s="1"/>
  <c r="C1584" i="7" s="1"/>
  <c r="D1584" i="7" s="1"/>
  <c r="B1585" i="7" a="1"/>
  <c r="B1585" i="7" s="1"/>
  <c r="C1585" i="7" s="1"/>
  <c r="D1585" i="7" s="1"/>
  <c r="B1586" i="7" a="1"/>
  <c r="B1586" i="7" s="1"/>
  <c r="C1586" i="7" s="1"/>
  <c r="D1586" i="7" s="1"/>
  <c r="B1587" i="7" a="1"/>
  <c r="B1587" i="7" s="1"/>
  <c r="C1587" i="7" s="1"/>
  <c r="D1587" i="7" s="1"/>
  <c r="B1588" i="7" a="1"/>
  <c r="B1588" i="7" s="1"/>
  <c r="C1588" i="7" s="1"/>
  <c r="D1588" i="7" s="1"/>
  <c r="B1589" i="7" a="1"/>
  <c r="B1589" i="7" s="1"/>
  <c r="C1589" i="7" s="1"/>
  <c r="D1589" i="7" s="1"/>
  <c r="B1590" i="7" a="1"/>
  <c r="B1590" i="7" s="1"/>
  <c r="C1590" i="7" s="1"/>
  <c r="D1590" i="7" s="1"/>
  <c r="B1591" i="7" a="1"/>
  <c r="B1591" i="7" s="1"/>
  <c r="C1591" i="7" s="1"/>
  <c r="D1591" i="7" s="1"/>
  <c r="B1592" i="7" a="1"/>
  <c r="B1592" i="7" s="1"/>
  <c r="C1592" i="7" s="1"/>
  <c r="D1592" i="7" s="1"/>
  <c r="B1593" i="7" a="1"/>
  <c r="B1593" i="7" s="1"/>
  <c r="C1593" i="7" s="1"/>
  <c r="D1593" i="7" s="1"/>
  <c r="B1594" i="7" a="1"/>
  <c r="B1594" i="7" s="1"/>
  <c r="C1594" i="7" s="1"/>
  <c r="D1594" i="7" s="1"/>
  <c r="B1595" i="7" a="1"/>
  <c r="B1595" i="7" s="1"/>
  <c r="C1595" i="7" s="1"/>
  <c r="D1595" i="7" s="1"/>
  <c r="B1596" i="7" a="1"/>
  <c r="B1596" i="7" s="1"/>
  <c r="C1596" i="7" s="1"/>
  <c r="D1596" i="7" s="1"/>
  <c r="B1597" i="7" a="1"/>
  <c r="B1597" i="7" s="1"/>
  <c r="C1597" i="7" s="1"/>
  <c r="D1597" i="7" s="1"/>
  <c r="B1598" i="7" a="1"/>
  <c r="B1598" i="7" s="1"/>
  <c r="C1598" i="7" s="1"/>
  <c r="D1598" i="7" s="1"/>
  <c r="B1599" i="7" a="1"/>
  <c r="B1599" i="7" s="1"/>
  <c r="C1599" i="7" s="1"/>
  <c r="D1599" i="7" s="1"/>
  <c r="B1600" i="7" a="1"/>
  <c r="B1600" i="7" s="1"/>
  <c r="C1600" i="7" s="1"/>
  <c r="D1600" i="7" s="1"/>
  <c r="B1601" i="7" a="1"/>
  <c r="B1601" i="7" s="1"/>
  <c r="C1601" i="7" s="1"/>
  <c r="D1601" i="7" s="1"/>
  <c r="B1602" i="7" a="1"/>
  <c r="B1602" i="7" s="1"/>
  <c r="C1602" i="7" s="1"/>
  <c r="D1602" i="7" s="1"/>
  <c r="B1603" i="7" a="1"/>
  <c r="B1603" i="7" s="1"/>
  <c r="C1603" i="7" s="1"/>
  <c r="D1603" i="7" s="1"/>
  <c r="B1604" i="7" a="1"/>
  <c r="B1604" i="7" s="1"/>
  <c r="C1604" i="7" s="1"/>
  <c r="D1604" i="7" s="1"/>
  <c r="B1605" i="7" a="1"/>
  <c r="B1605" i="7" s="1"/>
  <c r="C1605" i="7" s="1"/>
  <c r="D1605" i="7" s="1"/>
  <c r="B1606" i="7" a="1"/>
  <c r="B1606" i="7" s="1"/>
  <c r="C1606" i="7" s="1"/>
  <c r="D1606" i="7" s="1"/>
  <c r="B1607" i="7" a="1"/>
  <c r="B1607" i="7" s="1"/>
  <c r="C1607" i="7" s="1"/>
  <c r="D1607" i="7" s="1"/>
  <c r="B1608" i="7" a="1"/>
  <c r="B1608" i="7" s="1"/>
  <c r="C1608" i="7" s="1"/>
  <c r="D1608" i="7" s="1"/>
  <c r="B1609" i="7" a="1"/>
  <c r="B1609" i="7" s="1"/>
  <c r="C1609" i="7" s="1"/>
  <c r="D1609" i="7" s="1"/>
  <c r="B1610" i="7" a="1"/>
  <c r="B1610" i="7" s="1"/>
  <c r="C1610" i="7" s="1"/>
  <c r="D1610" i="7" s="1"/>
  <c r="B1611" i="7" a="1"/>
  <c r="B1611" i="7" s="1"/>
  <c r="C1611" i="7" s="1"/>
  <c r="D1611" i="7" s="1"/>
  <c r="B1612" i="7" a="1"/>
  <c r="B1612" i="7" s="1"/>
  <c r="C1612" i="7" s="1"/>
  <c r="D1612" i="7" s="1"/>
  <c r="B1613" i="7" a="1"/>
  <c r="B1613" i="7" s="1"/>
  <c r="C1613" i="7" s="1"/>
  <c r="D1613" i="7" s="1"/>
  <c r="B1614" i="7" a="1"/>
  <c r="B1614" i="7" s="1"/>
  <c r="C1614" i="7" s="1"/>
  <c r="D1614" i="7" s="1"/>
  <c r="B1615" i="7" a="1"/>
  <c r="B1615" i="7" s="1"/>
  <c r="C1615" i="7" s="1"/>
  <c r="D1615" i="7" s="1"/>
  <c r="B1616" i="7" a="1"/>
  <c r="B1616" i="7" s="1"/>
  <c r="C1616" i="7" s="1"/>
  <c r="D1616" i="7" s="1"/>
  <c r="B1617" i="7" a="1"/>
  <c r="B1617" i="7" s="1"/>
  <c r="C1617" i="7" s="1"/>
  <c r="D1617" i="7" s="1"/>
  <c r="B1618" i="7" a="1"/>
  <c r="B1618" i="7" s="1"/>
  <c r="C1618" i="7" s="1"/>
  <c r="D1618" i="7" s="1"/>
  <c r="B1619" i="7" a="1"/>
  <c r="B1619" i="7" s="1"/>
  <c r="C1619" i="7" s="1"/>
  <c r="D1619" i="7" s="1"/>
  <c r="B1620" i="7" a="1"/>
  <c r="B1620" i="7" s="1"/>
  <c r="C1620" i="7" s="1"/>
  <c r="D1620" i="7" s="1"/>
  <c r="B1621" i="7" a="1"/>
  <c r="B1621" i="7" s="1"/>
  <c r="C1621" i="7" s="1"/>
  <c r="D1621" i="7" s="1"/>
  <c r="B1622" i="7" a="1"/>
  <c r="B1622" i="7" s="1"/>
  <c r="C1622" i="7" s="1"/>
  <c r="D1622" i="7" s="1"/>
  <c r="B1623" i="7" a="1"/>
  <c r="B1623" i="7" s="1"/>
  <c r="C1623" i="7" s="1"/>
  <c r="D1623" i="7" s="1"/>
  <c r="B1624" i="7" a="1"/>
  <c r="B1624" i="7" s="1"/>
  <c r="C1624" i="7" s="1"/>
  <c r="D1624" i="7" s="1"/>
  <c r="B1625" i="7" a="1"/>
  <c r="B1625" i="7" s="1"/>
  <c r="C1625" i="7" s="1"/>
  <c r="D1625" i="7" s="1"/>
  <c r="B1626" i="7" a="1"/>
  <c r="B1626" i="7" s="1"/>
  <c r="C1626" i="7" s="1"/>
  <c r="D1626" i="7" s="1"/>
  <c r="B1627" i="7" a="1"/>
  <c r="B1627" i="7" s="1"/>
  <c r="C1627" i="7" s="1"/>
  <c r="D1627" i="7" s="1"/>
  <c r="B1628" i="7" a="1"/>
  <c r="B1628" i="7" s="1"/>
  <c r="C1628" i="7" s="1"/>
  <c r="D1628" i="7" s="1"/>
  <c r="B1629" i="7" a="1"/>
  <c r="B1629" i="7" s="1"/>
  <c r="C1629" i="7" s="1"/>
  <c r="D1629" i="7" s="1"/>
  <c r="B1630" i="7" a="1"/>
  <c r="B1630" i="7" s="1"/>
  <c r="C1630" i="7" s="1"/>
  <c r="D1630" i="7" s="1"/>
  <c r="B1631" i="7" a="1"/>
  <c r="B1631" i="7" s="1"/>
  <c r="C1631" i="7" s="1"/>
  <c r="D1631" i="7" s="1"/>
  <c r="B1632" i="7" a="1"/>
  <c r="B1632" i="7" s="1"/>
  <c r="C1632" i="7" s="1"/>
  <c r="D1632" i="7" s="1"/>
  <c r="B1633" i="7" a="1"/>
  <c r="B1633" i="7" s="1"/>
  <c r="C1633" i="7" s="1"/>
  <c r="D1633" i="7" s="1"/>
  <c r="B1634" i="7" a="1"/>
  <c r="B1634" i="7" s="1"/>
  <c r="C1634" i="7" s="1"/>
  <c r="D1634" i="7" s="1"/>
  <c r="B1635" i="7" a="1"/>
  <c r="B1635" i="7" s="1"/>
  <c r="C1635" i="7" s="1"/>
  <c r="D1635" i="7" s="1"/>
  <c r="B1636" i="7" a="1"/>
  <c r="B1636" i="7" s="1"/>
  <c r="C1636" i="7" s="1"/>
  <c r="D1636" i="7" s="1"/>
  <c r="B1637" i="7" a="1"/>
  <c r="B1637" i="7" s="1"/>
  <c r="C1637" i="7" s="1"/>
  <c r="D1637" i="7" s="1"/>
  <c r="B1638" i="7" a="1"/>
  <c r="B1638" i="7" s="1"/>
  <c r="C1638" i="7" s="1"/>
  <c r="D1638" i="7" s="1"/>
  <c r="B1639" i="7" a="1"/>
  <c r="B1639" i="7" s="1"/>
  <c r="C1639" i="7" s="1"/>
  <c r="D1639" i="7" s="1"/>
  <c r="B1640" i="7" a="1"/>
  <c r="B1640" i="7" s="1"/>
  <c r="C1640" i="7" s="1"/>
  <c r="D1640" i="7" s="1"/>
  <c r="B1641" i="7" a="1"/>
  <c r="B1641" i="7" s="1"/>
  <c r="C1641" i="7" s="1"/>
  <c r="D1641" i="7" s="1"/>
  <c r="B1642" i="7" a="1"/>
  <c r="B1642" i="7" s="1"/>
  <c r="C1642" i="7" s="1"/>
  <c r="D1642" i="7" s="1"/>
  <c r="B1643" i="7" a="1"/>
  <c r="B1643" i="7" s="1"/>
  <c r="C1643" i="7" s="1"/>
  <c r="D1643" i="7" s="1"/>
  <c r="B1644" i="7" a="1"/>
  <c r="B1644" i="7" s="1"/>
  <c r="C1644" i="7" s="1"/>
  <c r="D1644" i="7" s="1"/>
  <c r="B1645" i="7" a="1"/>
  <c r="B1645" i="7" s="1"/>
  <c r="C1645" i="7" s="1"/>
  <c r="D1645" i="7" s="1"/>
  <c r="B1646" i="7" a="1"/>
  <c r="B1646" i="7" s="1"/>
  <c r="C1646" i="7" s="1"/>
  <c r="D1646" i="7" s="1"/>
  <c r="B1647" i="7" a="1"/>
  <c r="B1647" i="7" s="1"/>
  <c r="C1647" i="7" s="1"/>
  <c r="D1647" i="7" s="1"/>
  <c r="B1648" i="7" a="1"/>
  <c r="B1648" i="7" s="1"/>
  <c r="C1648" i="7" s="1"/>
  <c r="D1648" i="7" s="1"/>
  <c r="B1649" i="7" a="1"/>
  <c r="B1649" i="7" s="1"/>
  <c r="C1649" i="7" s="1"/>
  <c r="D1649" i="7" s="1"/>
  <c r="B1650" i="7" a="1"/>
  <c r="B1650" i="7" s="1"/>
  <c r="C1650" i="7" s="1"/>
  <c r="D1650" i="7" s="1"/>
  <c r="B1651" i="7" a="1"/>
  <c r="B1651" i="7" s="1"/>
  <c r="C1651" i="7" s="1"/>
  <c r="D1651" i="7" s="1"/>
  <c r="B1652" i="7" a="1"/>
  <c r="B1652" i="7" s="1"/>
  <c r="C1652" i="7" s="1"/>
  <c r="D1652" i="7" s="1"/>
  <c r="B1653" i="7" a="1"/>
  <c r="B1653" i="7" s="1"/>
  <c r="C1653" i="7" s="1"/>
  <c r="D1653" i="7" s="1"/>
  <c r="B1654" i="7" a="1"/>
  <c r="B1654" i="7" s="1"/>
  <c r="C1654" i="7" s="1"/>
  <c r="D1654" i="7" s="1"/>
  <c r="B1655" i="7" a="1"/>
  <c r="B1655" i="7" s="1"/>
  <c r="C1655" i="7" s="1"/>
  <c r="D1655" i="7" s="1"/>
  <c r="B1656" i="7" a="1"/>
  <c r="B1656" i="7" s="1"/>
  <c r="C1656" i="7" s="1"/>
  <c r="D1656" i="7" s="1"/>
  <c r="B1657" i="7" a="1"/>
  <c r="B1657" i="7" s="1"/>
  <c r="C1657" i="7" s="1"/>
  <c r="D1657" i="7" s="1"/>
  <c r="B1658" i="7" a="1"/>
  <c r="B1658" i="7" s="1"/>
  <c r="C1658" i="7" s="1"/>
  <c r="D1658" i="7" s="1"/>
  <c r="B1659" i="7" a="1"/>
  <c r="B1659" i="7" s="1"/>
  <c r="C1659" i="7" s="1"/>
  <c r="D1659" i="7" s="1"/>
  <c r="B1660" i="7" a="1"/>
  <c r="B1660" i="7" s="1"/>
  <c r="C1660" i="7" s="1"/>
  <c r="D1660" i="7" s="1"/>
  <c r="B1661" i="7" a="1"/>
  <c r="B1661" i="7" s="1"/>
  <c r="C1661" i="7" s="1"/>
  <c r="D1661" i="7" s="1"/>
  <c r="B1662" i="7" a="1"/>
  <c r="B1662" i="7" s="1"/>
  <c r="C1662" i="7" s="1"/>
  <c r="D1662" i="7" s="1"/>
  <c r="B1663" i="7" a="1"/>
  <c r="B1663" i="7" s="1"/>
  <c r="C1663" i="7" s="1"/>
  <c r="D1663" i="7" s="1"/>
  <c r="B1664" i="7" a="1"/>
  <c r="B1664" i="7" s="1"/>
  <c r="C1664" i="7" s="1"/>
  <c r="D1664" i="7" s="1"/>
  <c r="B1665" i="7" a="1"/>
  <c r="B1665" i="7" s="1"/>
  <c r="C1665" i="7" s="1"/>
  <c r="D1665" i="7" s="1"/>
  <c r="B1666" i="7" a="1"/>
  <c r="B1666" i="7" s="1"/>
  <c r="C1666" i="7" s="1"/>
  <c r="D1666" i="7" s="1"/>
  <c r="B1667" i="7" a="1"/>
  <c r="B1667" i="7" s="1"/>
  <c r="C1667" i="7" s="1"/>
  <c r="D1667" i="7" s="1"/>
  <c r="B1668" i="7" a="1"/>
  <c r="B1668" i="7" s="1"/>
  <c r="C1668" i="7" s="1"/>
  <c r="D1668" i="7" s="1"/>
  <c r="B1669" i="7" a="1"/>
  <c r="B1669" i="7" s="1"/>
  <c r="C1669" i="7" s="1"/>
  <c r="D1669" i="7" s="1"/>
  <c r="B1670" i="7" a="1"/>
  <c r="B1670" i="7" s="1"/>
  <c r="C1670" i="7" s="1"/>
  <c r="D1670" i="7" s="1"/>
  <c r="B1671" i="7" a="1"/>
  <c r="B1671" i="7" s="1"/>
  <c r="C1671" i="7" s="1"/>
  <c r="D1671" i="7" s="1"/>
  <c r="B1672" i="7" a="1"/>
  <c r="B1672" i="7" s="1"/>
  <c r="C1672" i="7" s="1"/>
  <c r="D1672" i="7" s="1"/>
  <c r="B1673" i="7" a="1"/>
  <c r="B1673" i="7" s="1"/>
  <c r="C1673" i="7" s="1"/>
  <c r="D1673" i="7" s="1"/>
  <c r="B1674" i="7" a="1"/>
  <c r="B1674" i="7" s="1"/>
  <c r="C1674" i="7" s="1"/>
  <c r="D1674" i="7" s="1"/>
  <c r="B1675" i="7" a="1"/>
  <c r="B1675" i="7" s="1"/>
  <c r="C1675" i="7" s="1"/>
  <c r="D1675" i="7" s="1"/>
  <c r="B1676" i="7" a="1"/>
  <c r="B1676" i="7" s="1"/>
  <c r="C1676" i="7" s="1"/>
  <c r="D1676" i="7" s="1"/>
  <c r="B1677" i="7" a="1"/>
  <c r="B1677" i="7" s="1"/>
  <c r="C1677" i="7" s="1"/>
  <c r="D1677" i="7" s="1"/>
  <c r="B1678" i="7" a="1"/>
  <c r="B1678" i="7" s="1"/>
  <c r="C1678" i="7" s="1"/>
  <c r="D1678" i="7" s="1"/>
  <c r="B1679" i="7" a="1"/>
  <c r="B1679" i="7" s="1"/>
  <c r="C1679" i="7" s="1"/>
  <c r="D1679" i="7" s="1"/>
  <c r="B1680" i="7" a="1"/>
  <c r="B1680" i="7" s="1"/>
  <c r="C1680" i="7" s="1"/>
  <c r="D1680" i="7" s="1"/>
  <c r="B1681" i="7" a="1"/>
  <c r="B1681" i="7" s="1"/>
  <c r="C1681" i="7" s="1"/>
  <c r="D1681" i="7" s="1"/>
  <c r="B1682" i="7" a="1"/>
  <c r="B1682" i="7" s="1"/>
  <c r="C1682" i="7" s="1"/>
  <c r="D1682" i="7" s="1"/>
  <c r="B1683" i="7" a="1"/>
  <c r="B1683" i="7" s="1"/>
  <c r="C1683" i="7" s="1"/>
  <c r="D1683" i="7" s="1"/>
  <c r="B1684" i="7" a="1"/>
  <c r="B1684" i="7" s="1"/>
  <c r="C1684" i="7" s="1"/>
  <c r="D1684" i="7" s="1"/>
  <c r="B1685" i="7" a="1"/>
  <c r="B1685" i="7" s="1"/>
  <c r="C1685" i="7" s="1"/>
  <c r="D1685" i="7" s="1"/>
  <c r="B1686" i="7" a="1"/>
  <c r="B1686" i="7" s="1"/>
  <c r="C1686" i="7" s="1"/>
  <c r="D1686" i="7" s="1"/>
  <c r="B1687" i="7" a="1"/>
  <c r="B1687" i="7" s="1"/>
  <c r="C1687" i="7" s="1"/>
  <c r="D1687" i="7" s="1"/>
  <c r="B1688" i="7" a="1"/>
  <c r="B1688" i="7" s="1"/>
  <c r="C1688" i="7" s="1"/>
  <c r="D1688" i="7" s="1"/>
  <c r="B1689" i="7" a="1"/>
  <c r="B1689" i="7" s="1"/>
  <c r="C1689" i="7" s="1"/>
  <c r="D1689" i="7" s="1"/>
  <c r="B1690" i="7" a="1"/>
  <c r="B1690" i="7" s="1"/>
  <c r="C1690" i="7" s="1"/>
  <c r="D1690" i="7" s="1"/>
  <c r="B1691" i="7" a="1"/>
  <c r="B1691" i="7" s="1"/>
  <c r="C1691" i="7" s="1"/>
  <c r="D1691" i="7" s="1"/>
  <c r="B1692" i="7" a="1"/>
  <c r="B1692" i="7" s="1"/>
  <c r="C1692" i="7" s="1"/>
  <c r="D1692" i="7" s="1"/>
  <c r="B1693" i="7" a="1"/>
  <c r="B1693" i="7" s="1"/>
  <c r="C1693" i="7" s="1"/>
  <c r="D1693" i="7" s="1"/>
  <c r="B1694" i="7" a="1"/>
  <c r="B1694" i="7" s="1"/>
  <c r="C1694" i="7" s="1"/>
  <c r="D1694" i="7" s="1"/>
  <c r="B1695" i="7" a="1"/>
  <c r="B1695" i="7" s="1"/>
  <c r="C1695" i="7" s="1"/>
  <c r="D1695" i="7" s="1"/>
  <c r="B1696" i="7" a="1"/>
  <c r="B1696" i="7" s="1"/>
  <c r="C1696" i="7" s="1"/>
  <c r="D1696" i="7" s="1"/>
  <c r="B1697" i="7" a="1"/>
  <c r="B1697" i="7" s="1"/>
  <c r="C1697" i="7" s="1"/>
  <c r="D1697" i="7" s="1"/>
  <c r="B1698" i="7" a="1"/>
  <c r="B1698" i="7" s="1"/>
  <c r="C1698" i="7" s="1"/>
  <c r="D1698" i="7" s="1"/>
  <c r="B1699" i="7" a="1"/>
  <c r="B1699" i="7" s="1"/>
  <c r="C1699" i="7" s="1"/>
  <c r="D1699" i="7" s="1"/>
  <c r="B1700" i="7" a="1"/>
  <c r="B1700" i="7" s="1"/>
  <c r="C1700" i="7" s="1"/>
  <c r="D1700" i="7" s="1"/>
  <c r="B1701" i="7" a="1"/>
  <c r="B1701" i="7" s="1"/>
  <c r="C1701" i="7" s="1"/>
  <c r="D1701" i="7" s="1"/>
  <c r="B1702" i="7" a="1"/>
  <c r="B1702" i="7" s="1"/>
  <c r="C1702" i="7" s="1"/>
  <c r="D1702" i="7" s="1"/>
  <c r="B1703" i="7" a="1"/>
  <c r="B1703" i="7" s="1"/>
  <c r="C1703" i="7" s="1"/>
  <c r="D1703" i="7" s="1"/>
  <c r="B1704" i="7" a="1"/>
  <c r="B1704" i="7" s="1"/>
  <c r="C1704" i="7" s="1"/>
  <c r="D1704" i="7" s="1"/>
  <c r="B1705" i="7" a="1"/>
  <c r="B1705" i="7" s="1"/>
  <c r="C1705" i="7" s="1"/>
  <c r="D1705" i="7" s="1"/>
  <c r="B1706" i="7" a="1"/>
  <c r="B1706" i="7" s="1"/>
  <c r="C1706" i="7" s="1"/>
  <c r="D1706" i="7" s="1"/>
  <c r="B1707" i="7" a="1"/>
  <c r="B1707" i="7" s="1"/>
  <c r="C1707" i="7" s="1"/>
  <c r="D1707" i="7" s="1"/>
  <c r="B1708" i="7" a="1"/>
  <c r="B1708" i="7" s="1"/>
  <c r="C1708" i="7" s="1"/>
  <c r="D1708" i="7" s="1"/>
  <c r="B1709" i="7" a="1"/>
  <c r="B1709" i="7" s="1"/>
  <c r="C1709" i="7" s="1"/>
  <c r="D1709" i="7" s="1"/>
  <c r="B1710" i="7" a="1"/>
  <c r="B1710" i="7" s="1"/>
  <c r="C1710" i="7" s="1"/>
  <c r="D1710" i="7" s="1"/>
  <c r="B1711" i="7" a="1"/>
  <c r="B1711" i="7" s="1"/>
  <c r="C1711" i="7" s="1"/>
  <c r="D1711" i="7" s="1"/>
  <c r="B1712" i="7" a="1"/>
  <c r="B1712" i="7" s="1"/>
  <c r="C1712" i="7" s="1"/>
  <c r="D1712" i="7" s="1"/>
  <c r="B1713" i="7" a="1"/>
  <c r="B1713" i="7" s="1"/>
  <c r="C1713" i="7" s="1"/>
  <c r="D1713" i="7" s="1"/>
  <c r="B1714" i="7" a="1"/>
  <c r="B1714" i="7" s="1"/>
  <c r="C1714" i="7" s="1"/>
  <c r="D1714" i="7" s="1"/>
  <c r="B1715" i="7" a="1"/>
  <c r="B1715" i="7" s="1"/>
  <c r="C1715" i="7" s="1"/>
  <c r="D1715" i="7" s="1"/>
  <c r="B1716" i="7" a="1"/>
  <c r="B1716" i="7" s="1"/>
  <c r="C1716" i="7" s="1"/>
  <c r="D1716" i="7" s="1"/>
  <c r="B1717" i="7" a="1"/>
  <c r="B1717" i="7" s="1"/>
  <c r="C1717" i="7" s="1"/>
  <c r="D1717" i="7" s="1"/>
  <c r="B1718" i="7" a="1"/>
  <c r="B1718" i="7" s="1"/>
  <c r="C1718" i="7" s="1"/>
  <c r="D1718" i="7" s="1"/>
  <c r="B1719" i="7" a="1"/>
  <c r="B1719" i="7" s="1"/>
  <c r="C1719" i="7" s="1"/>
  <c r="D1719" i="7" s="1"/>
  <c r="B1720" i="7" a="1"/>
  <c r="B1720" i="7" s="1"/>
  <c r="C1720" i="7" s="1"/>
  <c r="D1720" i="7" s="1"/>
  <c r="B1721" i="7" a="1"/>
  <c r="B1721" i="7" s="1"/>
  <c r="C1721" i="7" s="1"/>
  <c r="D1721" i="7" s="1"/>
  <c r="B1722" i="7" a="1"/>
  <c r="B1722" i="7" s="1"/>
  <c r="C1722" i="7" s="1"/>
  <c r="D1722" i="7" s="1"/>
  <c r="B1723" i="7" a="1"/>
  <c r="B1723" i="7" s="1"/>
  <c r="C1723" i="7" s="1"/>
  <c r="D1723" i="7" s="1"/>
  <c r="B1724" i="7" a="1"/>
  <c r="B1724" i="7" s="1"/>
  <c r="C1724" i="7" s="1"/>
  <c r="D1724" i="7" s="1"/>
  <c r="B1725" i="7" a="1"/>
  <c r="B1725" i="7" s="1"/>
  <c r="C1725" i="7" s="1"/>
  <c r="D1725" i="7" s="1"/>
  <c r="B1726" i="7" a="1"/>
  <c r="B1726" i="7" s="1"/>
  <c r="C1726" i="7" s="1"/>
  <c r="D1726" i="7" s="1"/>
  <c r="B1727" i="7" a="1"/>
  <c r="B1727" i="7" s="1"/>
  <c r="C1727" i="7" s="1"/>
  <c r="D1727" i="7" s="1"/>
  <c r="B1728" i="7" a="1"/>
  <c r="B1728" i="7" s="1"/>
  <c r="C1728" i="7" s="1"/>
  <c r="D1728" i="7" s="1"/>
  <c r="B1729" i="7" a="1"/>
  <c r="B1729" i="7" s="1"/>
  <c r="C1729" i="7" s="1"/>
  <c r="D1729" i="7" s="1"/>
  <c r="B1730" i="7" a="1"/>
  <c r="B1730" i="7" s="1"/>
  <c r="C1730" i="7" s="1"/>
  <c r="D1730" i="7" s="1"/>
  <c r="B1731" i="7" a="1"/>
  <c r="B1731" i="7" s="1"/>
  <c r="C1731" i="7" s="1"/>
  <c r="D1731" i="7" s="1"/>
  <c r="B1732" i="7" a="1"/>
  <c r="B1732" i="7" s="1"/>
  <c r="C1732" i="7" s="1"/>
  <c r="D1732" i="7" s="1"/>
  <c r="B1733" i="7" a="1"/>
  <c r="B1733" i="7" s="1"/>
  <c r="C1733" i="7" s="1"/>
  <c r="D1733" i="7" s="1"/>
  <c r="B1734" i="7" a="1"/>
  <c r="B1734" i="7" s="1"/>
  <c r="C1734" i="7" s="1"/>
  <c r="D1734" i="7" s="1"/>
  <c r="B1735" i="7" a="1"/>
  <c r="B1735" i="7" s="1"/>
  <c r="C1735" i="7" s="1"/>
  <c r="D1735" i="7" s="1"/>
  <c r="B1736" i="7" a="1"/>
  <c r="B1736" i="7" s="1"/>
  <c r="C1736" i="7" s="1"/>
  <c r="D1736" i="7" s="1"/>
  <c r="B1737" i="7" a="1"/>
  <c r="B1737" i="7" s="1"/>
  <c r="C1737" i="7" s="1"/>
  <c r="D1737" i="7" s="1"/>
  <c r="B1738" i="7" a="1"/>
  <c r="B1738" i="7" s="1"/>
  <c r="C1738" i="7" s="1"/>
  <c r="D1738" i="7" s="1"/>
  <c r="B1739" i="7" a="1"/>
  <c r="B1739" i="7" s="1"/>
  <c r="C1739" i="7" s="1"/>
  <c r="D1739" i="7" s="1"/>
  <c r="B1740" i="7" a="1"/>
  <c r="B1740" i="7" s="1"/>
  <c r="C1740" i="7" s="1"/>
  <c r="D1740" i="7" s="1"/>
  <c r="B1741" i="7" a="1"/>
  <c r="B1741" i="7" s="1"/>
  <c r="C1741" i="7" s="1"/>
  <c r="D1741" i="7" s="1"/>
  <c r="B1742" i="7" a="1"/>
  <c r="B1742" i="7" s="1"/>
  <c r="C1742" i="7" s="1"/>
  <c r="D1742" i="7" s="1"/>
  <c r="B1743" i="7" a="1"/>
  <c r="B1743" i="7" s="1"/>
  <c r="C1743" i="7" s="1"/>
  <c r="D1743" i="7" s="1"/>
  <c r="B1744" i="7" a="1"/>
  <c r="B1744" i="7" s="1"/>
  <c r="C1744" i="7" s="1"/>
  <c r="D1744" i="7" s="1"/>
  <c r="B1745" i="7" a="1"/>
  <c r="B1745" i="7" s="1"/>
  <c r="C1745" i="7" s="1"/>
  <c r="D1745" i="7" s="1"/>
  <c r="B1746" i="7" a="1"/>
  <c r="B1746" i="7" s="1"/>
  <c r="C1746" i="7" s="1"/>
  <c r="D1746" i="7" s="1"/>
  <c r="B1747" i="7" a="1"/>
  <c r="B1747" i="7" s="1"/>
  <c r="C1747" i="7" s="1"/>
  <c r="D1747" i="7" s="1"/>
  <c r="B1748" i="7" a="1"/>
  <c r="B1748" i="7" s="1"/>
  <c r="C1748" i="7" s="1"/>
  <c r="D1748" i="7" s="1"/>
  <c r="B1749" i="7" a="1"/>
  <c r="B1749" i="7" s="1"/>
  <c r="C1749" i="7" s="1"/>
  <c r="D1749" i="7" s="1"/>
  <c r="B1750" i="7" a="1"/>
  <c r="B1750" i="7" s="1"/>
  <c r="C1750" i="7" s="1"/>
  <c r="D1750" i="7" s="1"/>
  <c r="B1751" i="7" a="1"/>
  <c r="B1751" i="7" s="1"/>
  <c r="C1751" i="7" s="1"/>
  <c r="D1751" i="7" s="1"/>
  <c r="B1752" i="7" a="1"/>
  <c r="B1752" i="7" s="1"/>
  <c r="C1752" i="7" s="1"/>
  <c r="D1752" i="7" s="1"/>
  <c r="B1753" i="7" a="1"/>
  <c r="B1753" i="7" s="1"/>
  <c r="C1753" i="7" s="1"/>
  <c r="D1753" i="7" s="1"/>
  <c r="B1754" i="7" a="1"/>
  <c r="B1754" i="7" s="1"/>
  <c r="C1754" i="7" s="1"/>
  <c r="D1754" i="7" s="1"/>
  <c r="B1755" i="7" a="1"/>
  <c r="B1755" i="7" s="1"/>
  <c r="C1755" i="7" s="1"/>
  <c r="D1755" i="7" s="1"/>
  <c r="B1756" i="7" a="1"/>
  <c r="B1756" i="7" s="1"/>
  <c r="C1756" i="7" s="1"/>
  <c r="D1756" i="7" s="1"/>
  <c r="B1757" i="7" a="1"/>
  <c r="B1757" i="7" s="1"/>
  <c r="C1757" i="7" s="1"/>
  <c r="D1757" i="7" s="1"/>
  <c r="B1758" i="7" a="1"/>
  <c r="B1758" i="7" s="1"/>
  <c r="C1758" i="7" s="1"/>
  <c r="D1758" i="7" s="1"/>
  <c r="B1759" i="7" a="1"/>
  <c r="B1759" i="7" s="1"/>
  <c r="C1759" i="7" s="1"/>
  <c r="D1759" i="7" s="1"/>
  <c r="B1760" i="7" a="1"/>
  <c r="B1760" i="7" s="1"/>
  <c r="C1760" i="7" s="1"/>
  <c r="D1760" i="7" s="1"/>
  <c r="B1761" i="7" a="1"/>
  <c r="B1761" i="7" s="1"/>
  <c r="C1761" i="7" s="1"/>
  <c r="D1761" i="7" s="1"/>
  <c r="B1762" i="7" a="1"/>
  <c r="B1762" i="7" s="1"/>
  <c r="C1762" i="7" s="1"/>
  <c r="D1762" i="7" s="1"/>
  <c r="B1763" i="7" a="1"/>
  <c r="B1763" i="7" s="1"/>
  <c r="C1763" i="7" s="1"/>
  <c r="D1763" i="7" s="1"/>
  <c r="B1764" i="7" a="1"/>
  <c r="B1764" i="7" s="1"/>
  <c r="C1764" i="7" s="1"/>
  <c r="D1764" i="7" s="1"/>
  <c r="B1765" i="7" a="1"/>
  <c r="B1765" i="7" s="1"/>
  <c r="C1765" i="7" s="1"/>
  <c r="D1765" i="7" s="1"/>
  <c r="B1766" i="7" a="1"/>
  <c r="B1766" i="7" s="1"/>
  <c r="C1766" i="7" s="1"/>
  <c r="D1766" i="7" s="1"/>
  <c r="B1767" i="7" a="1"/>
  <c r="B1767" i="7" s="1"/>
  <c r="C1767" i="7" s="1"/>
  <c r="D1767" i="7" s="1"/>
  <c r="B1768" i="7" a="1"/>
  <c r="B1768" i="7" s="1"/>
  <c r="C1768" i="7" s="1"/>
  <c r="D1768" i="7" s="1"/>
  <c r="B1769" i="7" a="1"/>
  <c r="B1769" i="7" s="1"/>
  <c r="C1769" i="7" s="1"/>
  <c r="D1769" i="7" s="1"/>
  <c r="B1770" i="7" a="1"/>
  <c r="B1770" i="7" s="1"/>
  <c r="C1770" i="7" s="1"/>
  <c r="D1770" i="7" s="1"/>
  <c r="B1771" i="7" a="1"/>
  <c r="B1771" i="7" s="1"/>
  <c r="C1771" i="7" s="1"/>
  <c r="D1771" i="7" s="1"/>
  <c r="B1772" i="7" a="1"/>
  <c r="B1772" i="7" s="1"/>
  <c r="C1772" i="7" s="1"/>
  <c r="D1772" i="7" s="1"/>
  <c r="B1773" i="7" a="1"/>
  <c r="B1773" i="7" s="1"/>
  <c r="C1773" i="7" s="1"/>
  <c r="D1773" i="7" s="1"/>
  <c r="B1774" i="7" a="1"/>
  <c r="B1774" i="7" s="1"/>
  <c r="C1774" i="7" s="1"/>
  <c r="D1774" i="7" s="1"/>
  <c r="B1775" i="7" a="1"/>
  <c r="B1775" i="7" s="1"/>
  <c r="C1775" i="7" s="1"/>
  <c r="D1775" i="7" s="1"/>
  <c r="B1776" i="7" a="1"/>
  <c r="B1776" i="7" s="1"/>
  <c r="C1776" i="7" s="1"/>
  <c r="D1776" i="7" s="1"/>
  <c r="B1777" i="7" a="1"/>
  <c r="B1777" i="7" s="1"/>
  <c r="C1777" i="7" s="1"/>
  <c r="D1777" i="7" s="1"/>
  <c r="B1778" i="7" a="1"/>
  <c r="B1778" i="7" s="1"/>
  <c r="C1778" i="7" s="1"/>
  <c r="D1778" i="7" s="1"/>
  <c r="B1779" i="7" a="1"/>
  <c r="B1779" i="7" s="1"/>
  <c r="C1779" i="7" s="1"/>
  <c r="D1779" i="7" s="1"/>
  <c r="B1780" i="7" a="1"/>
  <c r="B1780" i="7" s="1"/>
  <c r="C1780" i="7" s="1"/>
  <c r="D1780" i="7" s="1"/>
  <c r="B1781" i="7" a="1"/>
  <c r="B1781" i="7" s="1"/>
  <c r="C1781" i="7" s="1"/>
  <c r="D1781" i="7" s="1"/>
  <c r="B1782" i="7" a="1"/>
  <c r="B1782" i="7" s="1"/>
  <c r="C1782" i="7" s="1"/>
  <c r="D1782" i="7" s="1"/>
  <c r="B1783" i="7" a="1"/>
  <c r="B1783" i="7" s="1"/>
  <c r="C1783" i="7" s="1"/>
  <c r="D1783" i="7" s="1"/>
  <c r="B1784" i="7" a="1"/>
  <c r="B1784" i="7" s="1"/>
  <c r="C1784" i="7" s="1"/>
  <c r="D1784" i="7" s="1"/>
  <c r="B1785" i="7" a="1"/>
  <c r="B1785" i="7" s="1"/>
  <c r="C1785" i="7" s="1"/>
  <c r="D1785" i="7" s="1"/>
  <c r="B1786" i="7" a="1"/>
  <c r="B1786" i="7" s="1"/>
  <c r="C1786" i="7" s="1"/>
  <c r="D1786" i="7" s="1"/>
  <c r="B1787" i="7" a="1"/>
  <c r="B1787" i="7" s="1"/>
  <c r="C1787" i="7" s="1"/>
  <c r="D1787" i="7" s="1"/>
  <c r="B1788" i="7" a="1"/>
  <c r="B1788" i="7" s="1"/>
  <c r="C1788" i="7" s="1"/>
  <c r="D1788" i="7" s="1"/>
  <c r="B1789" i="7" a="1"/>
  <c r="B1789" i="7" s="1"/>
  <c r="C1789" i="7" s="1"/>
  <c r="D1789" i="7" s="1"/>
  <c r="B1790" i="7" a="1"/>
  <c r="B1790" i="7" s="1"/>
  <c r="C1790" i="7" s="1"/>
  <c r="D1790" i="7" s="1"/>
  <c r="B1791" i="7" a="1"/>
  <c r="B1791" i="7" s="1"/>
  <c r="C1791" i="7" s="1"/>
  <c r="D1791" i="7" s="1"/>
  <c r="B1792" i="7" a="1"/>
  <c r="B1792" i="7" s="1"/>
  <c r="C1792" i="7" s="1"/>
  <c r="D1792" i="7" s="1"/>
  <c r="B1793" i="7" a="1"/>
  <c r="B1793" i="7" s="1"/>
  <c r="C1793" i="7" s="1"/>
  <c r="D1793" i="7" s="1"/>
  <c r="B1794" i="7" a="1"/>
  <c r="B1794" i="7" s="1"/>
  <c r="C1794" i="7" s="1"/>
  <c r="D1794" i="7" s="1"/>
  <c r="B1795" i="7" a="1"/>
  <c r="B1795" i="7" s="1"/>
  <c r="C1795" i="7" s="1"/>
  <c r="D1795" i="7" s="1"/>
  <c r="B1796" i="7" a="1"/>
  <c r="B1796" i="7" s="1"/>
  <c r="C1796" i="7" s="1"/>
  <c r="D1796" i="7" s="1"/>
  <c r="B1797" i="7" a="1"/>
  <c r="B1797" i="7" s="1"/>
  <c r="C1797" i="7" s="1"/>
  <c r="D1797" i="7" s="1"/>
  <c r="B1798" i="7" a="1"/>
  <c r="B1798" i="7" s="1"/>
  <c r="C1798" i="7" s="1"/>
  <c r="D1798" i="7" s="1"/>
  <c r="B1799" i="7" a="1"/>
  <c r="B1799" i="7" s="1"/>
  <c r="C1799" i="7" s="1"/>
  <c r="D1799" i="7" s="1"/>
  <c r="B1800" i="7" a="1"/>
  <c r="B1800" i="7" s="1"/>
  <c r="C1800" i="7" s="1"/>
  <c r="D1800" i="7" s="1"/>
  <c r="B1801" i="7" a="1"/>
  <c r="B1801" i="7" s="1"/>
  <c r="C1801" i="7" s="1"/>
  <c r="D1801" i="7" s="1"/>
  <c r="B1802" i="7" a="1"/>
  <c r="B1802" i="7" s="1"/>
  <c r="C1802" i="7" s="1"/>
  <c r="D1802" i="7" s="1"/>
  <c r="B1803" i="7" a="1"/>
  <c r="B1803" i="7" s="1"/>
  <c r="C1803" i="7" s="1"/>
  <c r="D1803" i="7" s="1"/>
  <c r="B1804" i="7" a="1"/>
  <c r="B1804" i="7" s="1"/>
  <c r="C1804" i="7" s="1"/>
  <c r="D1804" i="7" s="1"/>
  <c r="B1805" i="7" a="1"/>
  <c r="B1805" i="7" s="1"/>
  <c r="C1805" i="7" s="1"/>
  <c r="D1805" i="7" s="1"/>
  <c r="B1806" i="7" a="1"/>
  <c r="B1806" i="7" s="1"/>
  <c r="C1806" i="7" s="1"/>
  <c r="D1806" i="7" s="1"/>
  <c r="B1807" i="7" a="1"/>
  <c r="B1807" i="7" s="1"/>
  <c r="C1807" i="7" s="1"/>
  <c r="D1807" i="7" s="1"/>
  <c r="B1808" i="7" a="1"/>
  <c r="B1808" i="7" s="1"/>
  <c r="C1808" i="7" s="1"/>
  <c r="D1808" i="7" s="1"/>
  <c r="B1809" i="7" a="1"/>
  <c r="B1809" i="7" s="1"/>
  <c r="C1809" i="7" s="1"/>
  <c r="D1809" i="7" s="1"/>
  <c r="B1810" i="7" a="1"/>
  <c r="B1810" i="7" s="1"/>
  <c r="C1810" i="7" s="1"/>
  <c r="D1810" i="7" s="1"/>
  <c r="B1811" i="7" a="1"/>
  <c r="B1811" i="7" s="1"/>
  <c r="C1811" i="7" s="1"/>
  <c r="D1811" i="7" s="1"/>
  <c r="B1812" i="7" a="1"/>
  <c r="B1812" i="7" s="1"/>
  <c r="C1812" i="7" s="1"/>
  <c r="D1812" i="7" s="1"/>
  <c r="B1813" i="7" a="1"/>
  <c r="B1813" i="7" s="1"/>
  <c r="C1813" i="7" s="1"/>
  <c r="D1813" i="7" s="1"/>
  <c r="B1814" i="7" a="1"/>
  <c r="B1814" i="7" s="1"/>
  <c r="C1814" i="7" s="1"/>
  <c r="D1814" i="7" s="1"/>
  <c r="B1815" i="7" a="1"/>
  <c r="B1815" i="7" s="1"/>
  <c r="C1815" i="7" s="1"/>
  <c r="D1815" i="7" s="1"/>
  <c r="B1816" i="7" a="1"/>
  <c r="B1816" i="7" s="1"/>
  <c r="C1816" i="7" s="1"/>
  <c r="D1816" i="7" s="1"/>
  <c r="B1817" i="7" a="1"/>
  <c r="B1817" i="7" s="1"/>
  <c r="C1817" i="7" s="1"/>
  <c r="D1817" i="7" s="1"/>
  <c r="B1818" i="7" a="1"/>
  <c r="B1818" i="7" s="1"/>
  <c r="C1818" i="7" s="1"/>
  <c r="D1818" i="7" s="1"/>
  <c r="B1819" i="7" a="1"/>
  <c r="B1819" i="7" s="1"/>
  <c r="C1819" i="7" s="1"/>
  <c r="D1819" i="7" s="1"/>
  <c r="B1820" i="7" a="1"/>
  <c r="B1820" i="7" s="1"/>
  <c r="C1820" i="7" s="1"/>
  <c r="D1820" i="7" s="1"/>
  <c r="B1821" i="7" a="1"/>
  <c r="B1821" i="7" s="1"/>
  <c r="C1821" i="7" s="1"/>
  <c r="D1821" i="7" s="1"/>
  <c r="B1822" i="7" a="1"/>
  <c r="B1822" i="7" s="1"/>
  <c r="C1822" i="7" s="1"/>
  <c r="D1822" i="7" s="1"/>
  <c r="B1823" i="7" a="1"/>
  <c r="B1823" i="7" s="1"/>
  <c r="C1823" i="7" s="1"/>
  <c r="D1823" i="7" s="1"/>
  <c r="B1824" i="7" a="1"/>
  <c r="B1824" i="7" s="1"/>
  <c r="C1824" i="7" s="1"/>
  <c r="D1824" i="7" s="1"/>
  <c r="B1825" i="7" a="1"/>
  <c r="B1825" i="7" s="1"/>
  <c r="C1825" i="7" s="1"/>
  <c r="D1825" i="7" s="1"/>
  <c r="B1826" i="7" a="1"/>
  <c r="B1826" i="7" s="1"/>
  <c r="C1826" i="7" s="1"/>
  <c r="D1826" i="7" s="1"/>
  <c r="B1827" i="7" a="1"/>
  <c r="B1827" i="7" s="1"/>
  <c r="C1827" i="7" s="1"/>
  <c r="D1827" i="7" s="1"/>
  <c r="B1828" i="7" a="1"/>
  <c r="B1828" i="7" s="1"/>
  <c r="C1828" i="7" s="1"/>
  <c r="D1828" i="7" s="1"/>
  <c r="B1829" i="7" a="1"/>
  <c r="B1829" i="7" s="1"/>
  <c r="C1829" i="7" s="1"/>
  <c r="D1829" i="7" s="1"/>
  <c r="B1830" i="7" a="1"/>
  <c r="B1830" i="7" s="1"/>
  <c r="C1830" i="7" s="1"/>
  <c r="D1830" i="7" s="1"/>
  <c r="B1831" i="7" a="1"/>
  <c r="B1831" i="7" s="1"/>
  <c r="C1831" i="7" s="1"/>
  <c r="D1831" i="7" s="1"/>
  <c r="B1832" i="7" a="1"/>
  <c r="B1832" i="7" s="1"/>
  <c r="C1832" i="7" s="1"/>
  <c r="D1832" i="7" s="1"/>
  <c r="B1833" i="7" a="1"/>
  <c r="B1833" i="7" s="1"/>
  <c r="C1833" i="7" s="1"/>
  <c r="D1833" i="7" s="1"/>
  <c r="B1834" i="7" a="1"/>
  <c r="B1834" i="7" s="1"/>
  <c r="C1834" i="7" s="1"/>
  <c r="D1834" i="7" s="1"/>
  <c r="B1835" i="7" a="1"/>
  <c r="B1835" i="7" s="1"/>
  <c r="C1835" i="7" s="1"/>
  <c r="D1835" i="7" s="1"/>
  <c r="B1836" i="7" a="1"/>
  <c r="B1836" i="7" s="1"/>
  <c r="C1836" i="7" s="1"/>
  <c r="D1836" i="7" s="1"/>
  <c r="B1837" i="7" a="1"/>
  <c r="B1837" i="7" s="1"/>
  <c r="C1837" i="7" s="1"/>
  <c r="D1837" i="7" s="1"/>
  <c r="B1838" i="7" a="1"/>
  <c r="B1838" i="7" s="1"/>
  <c r="C1838" i="7" s="1"/>
  <c r="D1838" i="7" s="1"/>
  <c r="B1839" i="7" a="1"/>
  <c r="B1839" i="7" s="1"/>
  <c r="C1839" i="7" s="1"/>
  <c r="D1839" i="7" s="1"/>
  <c r="B1840" i="7" a="1"/>
  <c r="B1840" i="7" s="1"/>
  <c r="C1840" i="7" s="1"/>
  <c r="D1840" i="7" s="1"/>
  <c r="B1841" i="7" a="1"/>
  <c r="B1841" i="7" s="1"/>
  <c r="C1841" i="7" s="1"/>
  <c r="D1841" i="7" s="1"/>
  <c r="B1842" i="7" a="1"/>
  <c r="B1842" i="7" s="1"/>
  <c r="C1842" i="7" s="1"/>
  <c r="D1842" i="7" s="1"/>
  <c r="B1843" i="7" a="1"/>
  <c r="B1843" i="7" s="1"/>
  <c r="C1843" i="7" s="1"/>
  <c r="D1843" i="7" s="1"/>
  <c r="B1844" i="7" a="1"/>
  <c r="B1844" i="7" s="1"/>
  <c r="C1844" i="7" s="1"/>
  <c r="D1844" i="7" s="1"/>
  <c r="B1845" i="7" a="1"/>
  <c r="B1845" i="7" s="1"/>
  <c r="C1845" i="7" s="1"/>
  <c r="D1845" i="7" s="1"/>
  <c r="B1846" i="7" a="1"/>
  <c r="B1846" i="7" s="1"/>
  <c r="C1846" i="7" s="1"/>
  <c r="D1846" i="7" s="1"/>
  <c r="B1847" i="7" a="1"/>
  <c r="B1847" i="7" s="1"/>
  <c r="C1847" i="7" s="1"/>
  <c r="D1847" i="7" s="1"/>
  <c r="B1848" i="7" a="1"/>
  <c r="B1848" i="7" s="1"/>
  <c r="C1848" i="7" s="1"/>
  <c r="D1848" i="7" s="1"/>
  <c r="B1849" i="7" a="1"/>
  <c r="B1849" i="7" s="1"/>
  <c r="C1849" i="7" s="1"/>
  <c r="D1849" i="7" s="1"/>
  <c r="B1850" i="7" a="1"/>
  <c r="B1850" i="7" s="1"/>
  <c r="C1850" i="7" s="1"/>
  <c r="D1850" i="7" s="1"/>
  <c r="B1851" i="7" a="1"/>
  <c r="B1851" i="7" s="1"/>
  <c r="C1851" i="7" s="1"/>
  <c r="D1851" i="7" s="1"/>
  <c r="B1852" i="7" a="1"/>
  <c r="B1852" i="7" s="1"/>
  <c r="C1852" i="7" s="1"/>
  <c r="D1852" i="7" s="1"/>
  <c r="B1853" i="7" a="1"/>
  <c r="B1853" i="7" s="1"/>
  <c r="C1853" i="7" s="1"/>
  <c r="D1853" i="7" s="1"/>
  <c r="B1854" i="7" a="1"/>
  <c r="B1854" i="7" s="1"/>
  <c r="C1854" i="7" s="1"/>
  <c r="D1854" i="7" s="1"/>
  <c r="B1855" i="7" a="1"/>
  <c r="B1855" i="7" s="1"/>
  <c r="C1855" i="7" s="1"/>
  <c r="D1855" i="7" s="1"/>
  <c r="B1856" i="7" a="1"/>
  <c r="B1856" i="7" s="1"/>
  <c r="C1856" i="7" s="1"/>
  <c r="D1856" i="7" s="1"/>
  <c r="B1857" i="7" a="1"/>
  <c r="B1857" i="7" s="1"/>
  <c r="C1857" i="7" s="1"/>
  <c r="D1857" i="7" s="1"/>
  <c r="B1858" i="7" a="1"/>
  <c r="B1858" i="7" s="1"/>
  <c r="C1858" i="7" s="1"/>
  <c r="D1858" i="7" s="1"/>
  <c r="B1859" i="7" a="1"/>
  <c r="B1859" i="7" s="1"/>
  <c r="C1859" i="7" s="1"/>
  <c r="D1859" i="7" s="1"/>
  <c r="B1860" i="7" a="1"/>
  <c r="B1860" i="7" s="1"/>
  <c r="C1860" i="7" s="1"/>
  <c r="D1860" i="7" s="1"/>
  <c r="B1861" i="7" a="1"/>
  <c r="B1861" i="7" s="1"/>
  <c r="C1861" i="7" s="1"/>
  <c r="D1861" i="7" s="1"/>
  <c r="B1862" i="7" a="1"/>
  <c r="B1862" i="7" s="1"/>
  <c r="C1862" i="7" s="1"/>
  <c r="D1862" i="7" s="1"/>
  <c r="B1863" i="7" a="1"/>
  <c r="B1863" i="7" s="1"/>
  <c r="C1863" i="7" s="1"/>
  <c r="D1863" i="7" s="1"/>
  <c r="B1864" i="7" a="1"/>
  <c r="B1864" i="7" s="1"/>
  <c r="C1864" i="7" s="1"/>
  <c r="D1864" i="7" s="1"/>
  <c r="B1865" i="7" a="1"/>
  <c r="B1865" i="7" s="1"/>
  <c r="C1865" i="7" s="1"/>
  <c r="D1865" i="7" s="1"/>
  <c r="B1866" i="7" a="1"/>
  <c r="B1866" i="7" s="1"/>
  <c r="C1866" i="7" s="1"/>
  <c r="D1866" i="7" s="1"/>
  <c r="B1867" i="7" a="1"/>
  <c r="B1867" i="7" s="1"/>
  <c r="C1867" i="7" s="1"/>
  <c r="D1867" i="7" s="1"/>
  <c r="B1868" i="7" a="1"/>
  <c r="B1868" i="7" s="1"/>
  <c r="C1868" i="7" s="1"/>
  <c r="D1868" i="7" s="1"/>
  <c r="B1869" i="7" a="1"/>
  <c r="B1869" i="7" s="1"/>
  <c r="C1869" i="7" s="1"/>
  <c r="D1869" i="7" s="1"/>
  <c r="B1870" i="7" a="1"/>
  <c r="B1870" i="7" s="1"/>
  <c r="C1870" i="7" s="1"/>
  <c r="D1870" i="7" s="1"/>
  <c r="B1871" i="7" a="1"/>
  <c r="B1871" i="7" s="1"/>
  <c r="C1871" i="7" s="1"/>
  <c r="D1871" i="7" s="1"/>
  <c r="B1872" i="7" a="1"/>
  <c r="B1872" i="7" s="1"/>
  <c r="C1872" i="7" s="1"/>
  <c r="D1872" i="7" s="1"/>
  <c r="B1873" i="7" a="1"/>
  <c r="B1873" i="7" s="1"/>
  <c r="C1873" i="7" s="1"/>
  <c r="D1873" i="7" s="1"/>
  <c r="B1874" i="7" a="1"/>
  <c r="B1874" i="7" s="1"/>
  <c r="C1874" i="7" s="1"/>
  <c r="D1874" i="7" s="1"/>
  <c r="B1875" i="7" a="1"/>
  <c r="B1875" i="7" s="1"/>
  <c r="C1875" i="7" s="1"/>
  <c r="D1875" i="7" s="1"/>
  <c r="B1876" i="7" a="1"/>
  <c r="B1876" i="7" s="1"/>
  <c r="C1876" i="7" s="1"/>
  <c r="D1876" i="7" s="1"/>
  <c r="B1877" i="7" a="1"/>
  <c r="B1877" i="7" s="1"/>
  <c r="C1877" i="7" s="1"/>
  <c r="D1877" i="7" s="1"/>
  <c r="B1878" i="7" a="1"/>
  <c r="B1878" i="7" s="1"/>
  <c r="C1878" i="7" s="1"/>
  <c r="D1878" i="7" s="1"/>
  <c r="B1879" i="7" a="1"/>
  <c r="B1879" i="7" s="1"/>
  <c r="C1879" i="7" s="1"/>
  <c r="D1879" i="7" s="1"/>
  <c r="B1880" i="7" a="1"/>
  <c r="B1880" i="7" s="1"/>
  <c r="C1880" i="7" s="1"/>
  <c r="D1880" i="7" s="1"/>
  <c r="B1881" i="7" a="1"/>
  <c r="B1881" i="7" s="1"/>
  <c r="C1881" i="7" s="1"/>
  <c r="D1881" i="7" s="1"/>
  <c r="B1882" i="7" a="1"/>
  <c r="B1882" i="7" s="1"/>
  <c r="C1882" i="7" s="1"/>
  <c r="D1882" i="7" s="1"/>
  <c r="B1883" i="7" a="1"/>
  <c r="B1883" i="7" s="1"/>
  <c r="C1883" i="7" s="1"/>
  <c r="D1883" i="7" s="1"/>
  <c r="B1884" i="7" a="1"/>
  <c r="B1884" i="7" s="1"/>
  <c r="C1884" i="7" s="1"/>
  <c r="D1884" i="7" s="1"/>
  <c r="B1885" i="7" a="1"/>
  <c r="B1885" i="7" s="1"/>
  <c r="C1885" i="7" s="1"/>
  <c r="D1885" i="7" s="1"/>
  <c r="B1886" i="7" a="1"/>
  <c r="B1886" i="7" s="1"/>
  <c r="C1886" i="7" s="1"/>
  <c r="D1886" i="7" s="1"/>
  <c r="B1887" i="7" a="1"/>
  <c r="B1887" i="7" s="1"/>
  <c r="C1887" i="7" s="1"/>
  <c r="D1887" i="7" s="1"/>
  <c r="B1888" i="7" a="1"/>
  <c r="B1888" i="7" s="1"/>
  <c r="C1888" i="7" s="1"/>
  <c r="D1888" i="7" s="1"/>
  <c r="B1889" i="7" a="1"/>
  <c r="B1889" i="7" s="1"/>
  <c r="C1889" i="7" s="1"/>
  <c r="D1889" i="7" s="1"/>
  <c r="B1890" i="7" a="1"/>
  <c r="B1890" i="7" s="1"/>
  <c r="C1890" i="7" s="1"/>
  <c r="D1890" i="7" s="1"/>
  <c r="B1891" i="7" a="1"/>
  <c r="B1891" i="7" s="1"/>
  <c r="C1891" i="7" s="1"/>
  <c r="D1891" i="7" s="1"/>
  <c r="B1892" i="7" a="1"/>
  <c r="B1892" i="7" s="1"/>
  <c r="C1892" i="7" s="1"/>
  <c r="D1892" i="7" s="1"/>
  <c r="B1893" i="7" a="1"/>
  <c r="B1893" i="7" s="1"/>
  <c r="C1893" i="7" s="1"/>
  <c r="D1893" i="7" s="1"/>
  <c r="B1894" i="7" a="1"/>
  <c r="B1894" i="7" s="1"/>
  <c r="C1894" i="7" s="1"/>
  <c r="D1894" i="7" s="1"/>
  <c r="B1895" i="7" a="1"/>
  <c r="B1895" i="7" s="1"/>
  <c r="C1895" i="7" s="1"/>
  <c r="D1895" i="7" s="1"/>
  <c r="B1896" i="7" a="1"/>
  <c r="B1896" i="7" s="1"/>
  <c r="C1896" i="7" s="1"/>
  <c r="D1896" i="7" s="1"/>
  <c r="B1897" i="7" a="1"/>
  <c r="B1897" i="7" s="1"/>
  <c r="C1897" i="7" s="1"/>
  <c r="D1897" i="7" s="1"/>
  <c r="B1898" i="7" a="1"/>
  <c r="B1898" i="7" s="1"/>
  <c r="C1898" i="7" s="1"/>
  <c r="D1898" i="7" s="1"/>
  <c r="B1899" i="7" a="1"/>
  <c r="B1899" i="7" s="1"/>
  <c r="C1899" i="7" s="1"/>
  <c r="D1899" i="7" s="1"/>
  <c r="B1900" i="7" a="1"/>
  <c r="B1900" i="7" s="1"/>
  <c r="C1900" i="7" s="1"/>
  <c r="D1900" i="7" s="1"/>
  <c r="B1901" i="7" a="1"/>
  <c r="B1901" i="7" s="1"/>
  <c r="C1901" i="7" s="1"/>
  <c r="D1901" i="7" s="1"/>
  <c r="B1902" i="7" a="1"/>
  <c r="B1902" i="7" s="1"/>
  <c r="C1902" i="7" s="1"/>
  <c r="D1902" i="7" s="1"/>
  <c r="B1903" i="7" a="1"/>
  <c r="B1903" i="7" s="1"/>
  <c r="C1903" i="7" s="1"/>
  <c r="D1903" i="7" s="1"/>
  <c r="B1904" i="7" a="1"/>
  <c r="B1904" i="7" s="1"/>
  <c r="C1904" i="7" s="1"/>
  <c r="D1904" i="7" s="1"/>
  <c r="B1905" i="7" a="1"/>
  <c r="B1905" i="7" s="1"/>
  <c r="C1905" i="7" s="1"/>
  <c r="D1905" i="7" s="1"/>
  <c r="B1906" i="7" a="1"/>
  <c r="B1906" i="7" s="1"/>
  <c r="C1906" i="7" s="1"/>
  <c r="D1906" i="7" s="1"/>
  <c r="B1907" i="7" a="1"/>
  <c r="B1907" i="7" s="1"/>
  <c r="C1907" i="7" s="1"/>
  <c r="D1907" i="7" s="1"/>
  <c r="B1908" i="7" a="1"/>
  <c r="B1908" i="7" s="1"/>
  <c r="C1908" i="7" s="1"/>
  <c r="D1908" i="7" s="1"/>
  <c r="B1909" i="7" a="1"/>
  <c r="B1909" i="7" s="1"/>
  <c r="C1909" i="7" s="1"/>
  <c r="D1909" i="7" s="1"/>
  <c r="B1910" i="7" a="1"/>
  <c r="B1910" i="7" s="1"/>
  <c r="C1910" i="7" s="1"/>
  <c r="D1910" i="7" s="1"/>
  <c r="B1911" i="7" a="1"/>
  <c r="B1911" i="7" s="1"/>
  <c r="C1911" i="7" s="1"/>
  <c r="D1911" i="7" s="1"/>
  <c r="B1912" i="7" a="1"/>
  <c r="B1912" i="7" s="1"/>
  <c r="C1912" i="7" s="1"/>
  <c r="D1912" i="7" s="1"/>
  <c r="B1913" i="7" a="1"/>
  <c r="B1913" i="7" s="1"/>
  <c r="C1913" i="7" s="1"/>
  <c r="D1913" i="7" s="1"/>
  <c r="B1914" i="7" a="1"/>
  <c r="B1914" i="7" s="1"/>
  <c r="C1914" i="7" s="1"/>
  <c r="D1914" i="7" s="1"/>
  <c r="B1915" i="7" a="1"/>
  <c r="B1915" i="7" s="1"/>
  <c r="C1915" i="7" s="1"/>
  <c r="D1915" i="7" s="1"/>
  <c r="B1916" i="7" a="1"/>
  <c r="B1916" i="7" s="1"/>
  <c r="C1916" i="7" s="1"/>
  <c r="D1916" i="7" s="1"/>
  <c r="B1917" i="7" a="1"/>
  <c r="B1917" i="7" s="1"/>
  <c r="C1917" i="7" s="1"/>
  <c r="D1917" i="7" s="1"/>
  <c r="B1918" i="7" a="1"/>
  <c r="B1918" i="7" s="1"/>
  <c r="C1918" i="7" s="1"/>
  <c r="D1918" i="7" s="1"/>
  <c r="B1919" i="7" a="1"/>
  <c r="B1919" i="7" s="1"/>
  <c r="C1919" i="7" s="1"/>
  <c r="D1919" i="7" s="1"/>
  <c r="B1920" i="7" a="1"/>
  <c r="B1920" i="7" s="1"/>
  <c r="C1920" i="7" s="1"/>
  <c r="D1920" i="7" s="1"/>
  <c r="B1921" i="7" a="1"/>
  <c r="B1921" i="7" s="1"/>
  <c r="C1921" i="7" s="1"/>
  <c r="D1921" i="7" s="1"/>
  <c r="B1922" i="7" a="1"/>
  <c r="B1922" i="7" s="1"/>
  <c r="C1922" i="7" s="1"/>
  <c r="D1922" i="7" s="1"/>
  <c r="B1923" i="7" a="1"/>
  <c r="B1923" i="7" s="1"/>
  <c r="C1923" i="7" s="1"/>
  <c r="D1923" i="7" s="1"/>
  <c r="B1924" i="7" a="1"/>
  <c r="B1924" i="7" s="1"/>
  <c r="C1924" i="7" s="1"/>
  <c r="D1924" i="7" s="1"/>
  <c r="B1925" i="7" a="1"/>
  <c r="B1925" i="7" s="1"/>
  <c r="C1925" i="7" s="1"/>
  <c r="D1925" i="7" s="1"/>
  <c r="B1926" i="7" a="1"/>
  <c r="B1926" i="7" s="1"/>
  <c r="C1926" i="7" s="1"/>
  <c r="D1926" i="7" s="1"/>
  <c r="B1927" i="7" a="1"/>
  <c r="B1927" i="7" s="1"/>
  <c r="C1927" i="7" s="1"/>
  <c r="D1927" i="7" s="1"/>
  <c r="B1928" i="7" a="1"/>
  <c r="B1928" i="7" s="1"/>
  <c r="C1928" i="7" s="1"/>
  <c r="D1928" i="7" s="1"/>
  <c r="B1929" i="7" a="1"/>
  <c r="B1929" i="7" s="1"/>
  <c r="C1929" i="7" s="1"/>
  <c r="D1929" i="7" s="1"/>
  <c r="B1930" i="7" a="1"/>
  <c r="B1930" i="7" s="1"/>
  <c r="C1930" i="7" s="1"/>
  <c r="D1930" i="7" s="1"/>
  <c r="B1931" i="7" a="1"/>
  <c r="B1931" i="7" s="1"/>
  <c r="C1931" i="7" s="1"/>
  <c r="D1931" i="7" s="1"/>
  <c r="B1932" i="7" a="1"/>
  <c r="B1932" i="7" s="1"/>
  <c r="C1932" i="7" s="1"/>
  <c r="D1932" i="7" s="1"/>
  <c r="B1933" i="7" a="1"/>
  <c r="B1933" i="7" s="1"/>
  <c r="C1933" i="7" s="1"/>
  <c r="D1933" i="7" s="1"/>
  <c r="B1934" i="7" a="1"/>
  <c r="B1934" i="7" s="1"/>
  <c r="C1934" i="7" s="1"/>
  <c r="D1934" i="7" s="1"/>
  <c r="B1935" i="7" a="1"/>
  <c r="B1935" i="7" s="1"/>
  <c r="C1935" i="7" s="1"/>
  <c r="D1935" i="7" s="1"/>
  <c r="B1936" i="7" a="1"/>
  <c r="B1936" i="7" s="1"/>
  <c r="C1936" i="7" s="1"/>
  <c r="D1936" i="7" s="1"/>
  <c r="B1937" i="7" a="1"/>
  <c r="B1937" i="7" s="1"/>
  <c r="C1937" i="7" s="1"/>
  <c r="D1937" i="7" s="1"/>
  <c r="B1938" i="7" a="1"/>
  <c r="B1938" i="7" s="1"/>
  <c r="C1938" i="7" s="1"/>
  <c r="D1938" i="7" s="1"/>
  <c r="B1939" i="7" a="1"/>
  <c r="B1939" i="7" s="1"/>
  <c r="C1939" i="7" s="1"/>
  <c r="D1939" i="7" s="1"/>
  <c r="B1940" i="7" a="1"/>
  <c r="B1940" i="7" s="1"/>
  <c r="C1940" i="7" s="1"/>
  <c r="D1940" i="7" s="1"/>
  <c r="B1941" i="7" a="1"/>
  <c r="B1941" i="7" s="1"/>
  <c r="C1941" i="7" s="1"/>
  <c r="D1941" i="7" s="1"/>
  <c r="B1942" i="7" a="1"/>
  <c r="B1942" i="7" s="1"/>
  <c r="C1942" i="7" s="1"/>
  <c r="D1942" i="7" s="1"/>
  <c r="B1943" i="7" a="1"/>
  <c r="B1943" i="7" s="1"/>
  <c r="C1943" i="7" s="1"/>
  <c r="D1943" i="7" s="1"/>
  <c r="B1944" i="7" a="1"/>
  <c r="B1944" i="7" s="1"/>
  <c r="C1944" i="7" s="1"/>
  <c r="D1944" i="7" s="1"/>
  <c r="B1945" i="7" a="1"/>
  <c r="B1945" i="7" s="1"/>
  <c r="C1945" i="7" s="1"/>
  <c r="D1945" i="7" s="1"/>
  <c r="B1946" i="7" a="1"/>
  <c r="B1946" i="7" s="1"/>
  <c r="C1946" i="7" s="1"/>
  <c r="D1946" i="7" s="1"/>
  <c r="B1947" i="7" a="1"/>
  <c r="B1947" i="7" s="1"/>
  <c r="C1947" i="7" s="1"/>
  <c r="D1947" i="7" s="1"/>
  <c r="B1948" i="7" a="1"/>
  <c r="B1948" i="7" s="1"/>
  <c r="C1948" i="7" s="1"/>
  <c r="D1948" i="7" s="1"/>
  <c r="B1949" i="7" a="1"/>
  <c r="B1949" i="7" s="1"/>
  <c r="C1949" i="7" s="1"/>
  <c r="D1949" i="7" s="1"/>
  <c r="B1950" i="7" a="1"/>
  <c r="B1950" i="7" s="1"/>
  <c r="C1950" i="7" s="1"/>
  <c r="D1950" i="7" s="1"/>
  <c r="B1951" i="7" a="1"/>
  <c r="B1951" i="7" s="1"/>
  <c r="C1951" i="7" s="1"/>
  <c r="D1951" i="7" s="1"/>
  <c r="B1952" i="7" a="1"/>
  <c r="B1952" i="7" s="1"/>
  <c r="C1952" i="7" s="1"/>
  <c r="D1952" i="7" s="1"/>
  <c r="B1953" i="7" a="1"/>
  <c r="B1953" i="7" s="1"/>
  <c r="C1953" i="7" s="1"/>
  <c r="D1953" i="7" s="1"/>
  <c r="B1954" i="7" a="1"/>
  <c r="B1954" i="7" s="1"/>
  <c r="C1954" i="7" s="1"/>
  <c r="D1954" i="7" s="1"/>
  <c r="B1955" i="7" a="1"/>
  <c r="B1955" i="7" s="1"/>
  <c r="C1955" i="7" s="1"/>
  <c r="D1955" i="7" s="1"/>
  <c r="B1956" i="7" a="1"/>
  <c r="B1956" i="7" s="1"/>
  <c r="C1956" i="7" s="1"/>
  <c r="D1956" i="7" s="1"/>
  <c r="B1957" i="7" a="1"/>
  <c r="B1957" i="7" s="1"/>
  <c r="C1957" i="7" s="1"/>
  <c r="D1957" i="7" s="1"/>
  <c r="B1958" i="7" a="1"/>
  <c r="B1958" i="7" s="1"/>
  <c r="C1958" i="7" s="1"/>
  <c r="D1958" i="7" s="1"/>
  <c r="B1959" i="7" a="1"/>
  <c r="B1959" i="7" s="1"/>
  <c r="C1959" i="7" s="1"/>
  <c r="D1959" i="7" s="1"/>
  <c r="B1960" i="7" a="1"/>
  <c r="B1960" i="7" s="1"/>
  <c r="C1960" i="7" s="1"/>
  <c r="D1960" i="7" s="1"/>
  <c r="B1961" i="7" a="1"/>
  <c r="B1961" i="7" s="1"/>
  <c r="C1961" i="7" s="1"/>
  <c r="D1961" i="7" s="1"/>
  <c r="B1962" i="7" a="1"/>
  <c r="B1962" i="7" s="1"/>
  <c r="C1962" i="7" s="1"/>
  <c r="D1962" i="7" s="1"/>
  <c r="B1963" i="7" a="1"/>
  <c r="B1963" i="7" s="1"/>
  <c r="C1963" i="7" s="1"/>
  <c r="D1963" i="7" s="1"/>
  <c r="B1964" i="7" a="1"/>
  <c r="B1964" i="7" s="1"/>
  <c r="C1964" i="7" s="1"/>
  <c r="D1964" i="7" s="1"/>
  <c r="B1965" i="7" a="1"/>
  <c r="B1965" i="7" s="1"/>
  <c r="C1965" i="7" s="1"/>
  <c r="D1965" i="7" s="1"/>
  <c r="B1966" i="7" a="1"/>
  <c r="B1966" i="7" s="1"/>
  <c r="C1966" i="7" s="1"/>
  <c r="D1966" i="7" s="1"/>
  <c r="B1967" i="7" a="1"/>
  <c r="B1967" i="7" s="1"/>
  <c r="C1967" i="7" s="1"/>
  <c r="D1967" i="7" s="1"/>
  <c r="B1968" i="7" a="1"/>
  <c r="B1968" i="7" s="1"/>
  <c r="C1968" i="7" s="1"/>
  <c r="D1968" i="7" s="1"/>
  <c r="B1969" i="7" a="1"/>
  <c r="B1969" i="7" s="1"/>
  <c r="C1969" i="7" s="1"/>
  <c r="D1969" i="7" s="1"/>
  <c r="B1970" i="7" a="1"/>
  <c r="B1970" i="7" s="1"/>
  <c r="C1970" i="7" s="1"/>
  <c r="D1970" i="7" s="1"/>
  <c r="B1971" i="7" a="1"/>
  <c r="B1971" i="7" s="1"/>
  <c r="C1971" i="7" s="1"/>
  <c r="D1971" i="7" s="1"/>
  <c r="B1972" i="7" a="1"/>
  <c r="B1972" i="7" s="1"/>
  <c r="C1972" i="7" s="1"/>
  <c r="D1972" i="7" s="1"/>
  <c r="B1973" i="7" a="1"/>
  <c r="B1973" i="7" s="1"/>
  <c r="C1973" i="7" s="1"/>
  <c r="D1973" i="7" s="1"/>
  <c r="B1974" i="7" a="1"/>
  <c r="B1974" i="7" s="1"/>
  <c r="C1974" i="7" s="1"/>
  <c r="D1974" i="7" s="1"/>
  <c r="B1975" i="7" a="1"/>
  <c r="B1975" i="7" s="1"/>
  <c r="C1975" i="7" s="1"/>
  <c r="D1975" i="7" s="1"/>
  <c r="B1976" i="7" a="1"/>
  <c r="B1976" i="7" s="1"/>
  <c r="C1976" i="7" s="1"/>
  <c r="D1976" i="7" s="1"/>
  <c r="B1977" i="7" a="1"/>
  <c r="B1977" i="7" s="1"/>
  <c r="C1977" i="7" s="1"/>
  <c r="D1977" i="7" s="1"/>
  <c r="B1978" i="7" a="1"/>
  <c r="B1978" i="7" s="1"/>
  <c r="C1978" i="7" s="1"/>
  <c r="D1978" i="7" s="1"/>
  <c r="B1979" i="7" a="1"/>
  <c r="B1979" i="7" s="1"/>
  <c r="C1979" i="7" s="1"/>
  <c r="D1979" i="7" s="1"/>
  <c r="B1980" i="7" a="1"/>
  <c r="B1980" i="7" s="1"/>
  <c r="C1980" i="7" s="1"/>
  <c r="D1980" i="7" s="1"/>
  <c r="B1981" i="7" a="1"/>
  <c r="B1981" i="7" s="1"/>
  <c r="C1981" i="7" s="1"/>
  <c r="D1981" i="7" s="1"/>
  <c r="B1982" i="7" a="1"/>
  <c r="B1982" i="7" s="1"/>
  <c r="C1982" i="7" s="1"/>
  <c r="D1982" i="7" s="1"/>
  <c r="B1983" i="7" a="1"/>
  <c r="B1983" i="7" s="1"/>
  <c r="C1983" i="7" s="1"/>
  <c r="D1983" i="7" s="1"/>
  <c r="B1984" i="7" a="1"/>
  <c r="B1984" i="7" s="1"/>
  <c r="C1984" i="7" s="1"/>
  <c r="D1984" i="7" s="1"/>
  <c r="B1985" i="7" a="1"/>
  <c r="B1985" i="7" s="1"/>
  <c r="C1985" i="7" s="1"/>
  <c r="D1985" i="7" s="1"/>
  <c r="B1986" i="7" a="1"/>
  <c r="B1986" i="7" s="1"/>
  <c r="C1986" i="7" s="1"/>
  <c r="D1986" i="7" s="1"/>
  <c r="B1987" i="7" a="1"/>
  <c r="B1987" i="7" s="1"/>
  <c r="C1987" i="7" s="1"/>
  <c r="D1987" i="7" s="1"/>
  <c r="B1988" i="7" a="1"/>
  <c r="B1988" i="7" s="1"/>
  <c r="C1988" i="7" s="1"/>
  <c r="D1988" i="7" s="1"/>
  <c r="B1989" i="7" a="1"/>
  <c r="B1989" i="7" s="1"/>
  <c r="C1989" i="7" s="1"/>
  <c r="D1989" i="7" s="1"/>
  <c r="B1990" i="7" a="1"/>
  <c r="B1990" i="7" s="1"/>
  <c r="C1990" i="7" s="1"/>
  <c r="D1990" i="7" s="1"/>
  <c r="B1991" i="7" a="1"/>
  <c r="B1991" i="7" s="1"/>
  <c r="C1991" i="7" s="1"/>
  <c r="D1991" i="7" s="1"/>
  <c r="B1992" i="7" a="1"/>
  <c r="B1992" i="7" s="1"/>
  <c r="C1992" i="7" s="1"/>
  <c r="D1992" i="7" s="1"/>
  <c r="B1993" i="7" a="1"/>
  <c r="B1993" i="7" s="1"/>
  <c r="C1993" i="7" s="1"/>
  <c r="D1993" i="7" s="1"/>
  <c r="B1994" i="7" a="1"/>
  <c r="B1994" i="7" s="1"/>
  <c r="C1994" i="7" s="1"/>
  <c r="D1994" i="7" s="1"/>
  <c r="B1995" i="7" a="1"/>
  <c r="B1995" i="7" s="1"/>
  <c r="C1995" i="7" s="1"/>
  <c r="D1995" i="7" s="1"/>
  <c r="B1996" i="7" a="1"/>
  <c r="B1996" i="7" s="1"/>
  <c r="C1996" i="7" s="1"/>
  <c r="D1996" i="7" s="1"/>
  <c r="B1997" i="7" a="1"/>
  <c r="B1997" i="7" s="1"/>
  <c r="C1997" i="7" s="1"/>
  <c r="D1997" i="7" s="1"/>
  <c r="B1998" i="7" a="1"/>
  <c r="B1998" i="7" s="1"/>
  <c r="C1998" i="7" s="1"/>
  <c r="D1998" i="7" s="1"/>
  <c r="B1999" i="7" a="1"/>
  <c r="B1999" i="7" s="1"/>
  <c r="C1999" i="7" s="1"/>
  <c r="D1999" i="7" s="1"/>
  <c r="B2000" i="7" a="1"/>
  <c r="B2000" i="7" s="1"/>
  <c r="C2000" i="7" s="1"/>
  <c r="D2000" i="7" s="1"/>
  <c r="B2001" i="7" a="1"/>
  <c r="B2001" i="7" s="1"/>
  <c r="C2001" i="7" s="1"/>
  <c r="D2001" i="7" s="1"/>
  <c r="B2002" i="7" a="1"/>
  <c r="B2002" i="7" s="1"/>
  <c r="C2002" i="7" s="1"/>
  <c r="D2002" i="7" s="1"/>
  <c r="B2003" i="7" a="1"/>
  <c r="B2003" i="7" s="1"/>
  <c r="C2003" i="7" s="1"/>
  <c r="D2003" i="7" s="1"/>
  <c r="B2004" i="7" a="1"/>
  <c r="B2004" i="7" s="1"/>
  <c r="C2004" i="7" s="1"/>
  <c r="D2004" i="7" s="1"/>
  <c r="B2005" i="7" a="1"/>
  <c r="B2005" i="7" s="1"/>
  <c r="C2005" i="7" s="1"/>
  <c r="D2005" i="7" s="1"/>
  <c r="B2006" i="7" a="1"/>
  <c r="B2006" i="7" s="1"/>
  <c r="C2006" i="7" s="1"/>
  <c r="D2006" i="7" s="1"/>
  <c r="B2007" i="7" a="1"/>
  <c r="B2007" i="7" s="1"/>
  <c r="C2007" i="7" s="1"/>
  <c r="D2007" i="7" s="1"/>
  <c r="B2008" i="7" a="1"/>
  <c r="B2008" i="7" s="1"/>
  <c r="C2008" i="7" s="1"/>
  <c r="D2008" i="7" s="1"/>
  <c r="B2009" i="7" a="1"/>
  <c r="B2009" i="7" s="1"/>
  <c r="C2009" i="7" s="1"/>
  <c r="D2009" i="7" s="1"/>
  <c r="B2010" i="7" a="1"/>
  <c r="B2010" i="7" s="1"/>
  <c r="C2010" i="7" s="1"/>
  <c r="D2010" i="7" s="1"/>
  <c r="B2011" i="7" a="1"/>
  <c r="B2011" i="7" s="1"/>
  <c r="C2011" i="7" s="1"/>
  <c r="D2011" i="7" s="1"/>
  <c r="B2012" i="7" a="1"/>
  <c r="B2012" i="7" s="1"/>
  <c r="C2012" i="7" s="1"/>
  <c r="D2012" i="7" s="1"/>
  <c r="B2013" i="7" a="1"/>
  <c r="B2013" i="7" s="1"/>
  <c r="C2013" i="7" s="1"/>
  <c r="D2013" i="7" s="1"/>
  <c r="B2014" i="7" a="1"/>
  <c r="B2014" i="7" s="1"/>
  <c r="C2014" i="7" s="1"/>
  <c r="D2014" i="7" s="1"/>
  <c r="B2015" i="7" a="1"/>
  <c r="B2015" i="7" s="1"/>
  <c r="C2015" i="7" s="1"/>
  <c r="D2015" i="7" s="1"/>
  <c r="B2016" i="7" a="1"/>
  <c r="B2016" i="7" s="1"/>
  <c r="C2016" i="7" s="1"/>
  <c r="D2016" i="7" s="1"/>
  <c r="B2017" i="7" a="1"/>
  <c r="B2017" i="7" s="1"/>
  <c r="C2017" i="7" s="1"/>
  <c r="D2017" i="7" s="1"/>
  <c r="B2018" i="7" a="1"/>
  <c r="B2018" i="7" s="1"/>
  <c r="C2018" i="7" s="1"/>
  <c r="D2018" i="7" s="1"/>
  <c r="B2019" i="7" a="1"/>
  <c r="B2019" i="7" s="1"/>
  <c r="C2019" i="7" s="1"/>
  <c r="D2019" i="7" s="1"/>
  <c r="B2020" i="7" a="1"/>
  <c r="B2020" i="7" s="1"/>
  <c r="C2020" i="7" s="1"/>
  <c r="D2020" i="7" s="1"/>
  <c r="B2021" i="7" a="1"/>
  <c r="B2021" i="7" s="1"/>
  <c r="C2021" i="7" s="1"/>
  <c r="D2021" i="7" s="1"/>
  <c r="B2022" i="7" a="1"/>
  <c r="B2022" i="7" s="1"/>
  <c r="C2022" i="7" s="1"/>
  <c r="D2022" i="7" s="1"/>
  <c r="B2023" i="7" a="1"/>
  <c r="B2023" i="7" s="1"/>
  <c r="C2023" i="7" s="1"/>
  <c r="D2023" i="7" s="1"/>
  <c r="B2024" i="7" a="1"/>
  <c r="B2024" i="7" s="1"/>
  <c r="C2024" i="7" s="1"/>
  <c r="D2024" i="7" s="1"/>
  <c r="B2025" i="7" a="1"/>
  <c r="B2025" i="7" s="1"/>
  <c r="C2025" i="7" s="1"/>
  <c r="D2025" i="7" s="1"/>
  <c r="B2026" i="7" a="1"/>
  <c r="B2026" i="7" s="1"/>
  <c r="C2026" i="7" s="1"/>
  <c r="D2026" i="7" s="1"/>
  <c r="B2027" i="7" a="1"/>
  <c r="B2027" i="7" s="1"/>
  <c r="C2027" i="7" s="1"/>
  <c r="D2027" i="7" s="1"/>
  <c r="B2028" i="7" a="1"/>
  <c r="B2028" i="7" s="1"/>
  <c r="C2028" i="7" s="1"/>
  <c r="D2028" i="7" s="1"/>
  <c r="B2029" i="7" a="1"/>
  <c r="B2029" i="7" s="1"/>
  <c r="C2029" i="7" s="1"/>
  <c r="D2029" i="7" s="1"/>
  <c r="B2030" i="7" a="1"/>
  <c r="B2030" i="7" s="1"/>
  <c r="C2030" i="7" s="1"/>
  <c r="D2030" i="7" s="1"/>
  <c r="B2031" i="7" a="1"/>
  <c r="B2031" i="7" s="1"/>
  <c r="C2031" i="7" s="1"/>
  <c r="D2031" i="7" s="1"/>
  <c r="B2032" i="7" a="1"/>
  <c r="B2032" i="7" s="1"/>
  <c r="C2032" i="7" s="1"/>
  <c r="D2032" i="7" s="1"/>
  <c r="B2033" i="7" a="1"/>
  <c r="B2033" i="7" s="1"/>
  <c r="C2033" i="7" s="1"/>
  <c r="D2033" i="7" s="1"/>
  <c r="B2034" i="7" a="1"/>
  <c r="B2034" i="7" s="1"/>
  <c r="C2034" i="7" s="1"/>
  <c r="D2034" i="7" s="1"/>
  <c r="B2035" i="7" a="1"/>
  <c r="B2035" i="7" s="1"/>
  <c r="C2035" i="7" s="1"/>
  <c r="D2035" i="7" s="1"/>
  <c r="B2036" i="7" a="1"/>
  <c r="B2036" i="7" s="1"/>
  <c r="C2036" i="7" s="1"/>
  <c r="D2036" i="7" s="1"/>
  <c r="B2037" i="7" a="1"/>
  <c r="B2037" i="7" s="1"/>
  <c r="C2037" i="7" s="1"/>
  <c r="D2037" i="7" s="1"/>
  <c r="B2038" i="7" a="1"/>
  <c r="B2038" i="7" s="1"/>
  <c r="C2038" i="7" s="1"/>
  <c r="D2038" i="7" s="1"/>
  <c r="B2039" i="7" a="1"/>
  <c r="B2039" i="7" s="1"/>
  <c r="C2039" i="7" s="1"/>
  <c r="D2039" i="7" s="1"/>
  <c r="B2040" i="7" a="1"/>
  <c r="B2040" i="7" s="1"/>
  <c r="C2040" i="7" s="1"/>
  <c r="D2040" i="7" s="1"/>
  <c r="B2041" i="7" a="1"/>
  <c r="B2041" i="7" s="1"/>
  <c r="C2041" i="7" s="1"/>
  <c r="D2041" i="7" s="1"/>
  <c r="B2042" i="7" a="1"/>
  <c r="B2042" i="7" s="1"/>
  <c r="C2042" i="7" s="1"/>
  <c r="D2042" i="7" s="1"/>
  <c r="B2043" i="7" a="1"/>
  <c r="B2043" i="7" s="1"/>
  <c r="C2043" i="7" s="1"/>
  <c r="D2043" i="7" s="1"/>
  <c r="B2044" i="7" a="1"/>
  <c r="B2044" i="7" s="1"/>
  <c r="C2044" i="7" s="1"/>
  <c r="D2044" i="7" s="1"/>
  <c r="B2045" i="7" a="1"/>
  <c r="B2045" i="7" s="1"/>
  <c r="C2045" i="7" s="1"/>
  <c r="D2045" i="7" s="1"/>
  <c r="B2046" i="7" a="1"/>
  <c r="B2046" i="7" s="1"/>
  <c r="C2046" i="7" s="1"/>
  <c r="D2046" i="7" s="1"/>
  <c r="B2047" i="7" a="1"/>
  <c r="B2047" i="7" s="1"/>
  <c r="C2047" i="7" s="1"/>
  <c r="D2047" i="7" s="1"/>
  <c r="B2048" i="7" a="1"/>
  <c r="B2048" i="7" s="1"/>
  <c r="C2048" i="7" s="1"/>
  <c r="D2048" i="7" s="1"/>
  <c r="B2049" i="7" a="1"/>
  <c r="B2049" i="7" s="1"/>
  <c r="C2049" i="7" s="1"/>
  <c r="D2049" i="7" s="1"/>
  <c r="B2050" i="7" a="1"/>
  <c r="B2050" i="7" s="1"/>
  <c r="C2050" i="7" s="1"/>
  <c r="D2050" i="7" s="1"/>
  <c r="B2051" i="7" a="1"/>
  <c r="B2051" i="7" s="1"/>
  <c r="C2051" i="7" s="1"/>
  <c r="D2051" i="7" s="1"/>
  <c r="B2052" i="7" a="1"/>
  <c r="B2052" i="7" s="1"/>
  <c r="C2052" i="7" s="1"/>
  <c r="D2052" i="7" s="1"/>
  <c r="B2053" i="7" a="1"/>
  <c r="B2053" i="7" s="1"/>
  <c r="C2053" i="7" s="1"/>
  <c r="D2053" i="7" s="1"/>
  <c r="B2054" i="7" a="1"/>
  <c r="B2054" i="7" s="1"/>
  <c r="C2054" i="7" s="1"/>
  <c r="D2054" i="7" s="1"/>
  <c r="B2055" i="7" a="1"/>
  <c r="B2055" i="7" s="1"/>
  <c r="C2055" i="7" s="1"/>
  <c r="D2055" i="7" s="1"/>
  <c r="B2056" i="7" a="1"/>
  <c r="B2056" i="7" s="1"/>
  <c r="C2056" i="7" s="1"/>
  <c r="D2056" i="7" s="1"/>
  <c r="B2057" i="7" a="1"/>
  <c r="B2057" i="7" s="1"/>
  <c r="C2057" i="7" s="1"/>
  <c r="D2057" i="7" s="1"/>
  <c r="B2058" i="7" a="1"/>
  <c r="B2058" i="7" s="1"/>
  <c r="C2058" i="7" s="1"/>
  <c r="D2058" i="7" s="1"/>
  <c r="B2059" i="7" a="1"/>
  <c r="B2059" i="7" s="1"/>
  <c r="C2059" i="7" s="1"/>
  <c r="D2059" i="7" s="1"/>
  <c r="B2060" i="7" a="1"/>
  <c r="B2060" i="7" s="1"/>
  <c r="C2060" i="7" s="1"/>
  <c r="D2060" i="7" s="1"/>
  <c r="B2061" i="7" a="1"/>
  <c r="B2061" i="7" s="1"/>
  <c r="C2061" i="7" s="1"/>
  <c r="D2061" i="7" s="1"/>
  <c r="B2062" i="7" a="1"/>
  <c r="B2062" i="7" s="1"/>
  <c r="C2062" i="7" s="1"/>
  <c r="D2062" i="7" s="1"/>
  <c r="B2063" i="7" a="1"/>
  <c r="B2063" i="7" s="1"/>
  <c r="C2063" i="7" s="1"/>
  <c r="D2063" i="7" s="1"/>
  <c r="B2064" i="7" a="1"/>
  <c r="B2064" i="7" s="1"/>
  <c r="C2064" i="7" s="1"/>
  <c r="D2064" i="7" s="1"/>
  <c r="B2065" i="7" a="1"/>
  <c r="B2065" i="7" s="1"/>
  <c r="C2065" i="7" s="1"/>
  <c r="D2065" i="7" s="1"/>
  <c r="B2066" i="7" a="1"/>
  <c r="B2066" i="7" s="1"/>
  <c r="C2066" i="7" s="1"/>
  <c r="D2066" i="7" s="1"/>
  <c r="B2067" i="7" a="1"/>
  <c r="B2067" i="7" s="1"/>
  <c r="C2067" i="7" s="1"/>
  <c r="D2067" i="7" s="1"/>
  <c r="B2068" i="7" a="1"/>
  <c r="B2068" i="7" s="1"/>
  <c r="C2068" i="7" s="1"/>
  <c r="D2068" i="7" s="1"/>
  <c r="B2069" i="7" a="1"/>
  <c r="B2069" i="7" s="1"/>
  <c r="C2069" i="7" s="1"/>
  <c r="D2069" i="7" s="1"/>
  <c r="B2070" i="7" a="1"/>
  <c r="B2070" i="7" s="1"/>
  <c r="C2070" i="7" s="1"/>
  <c r="D2070" i="7" s="1"/>
  <c r="B2071" i="7" a="1"/>
  <c r="B2071" i="7" s="1"/>
  <c r="C2071" i="7" s="1"/>
  <c r="D2071" i="7" s="1"/>
  <c r="B2072" i="7" a="1"/>
  <c r="B2072" i="7" s="1"/>
  <c r="C2072" i="7" s="1"/>
  <c r="D2072" i="7" s="1"/>
  <c r="B2073" i="7" a="1"/>
  <c r="B2073" i="7" s="1"/>
  <c r="C2073" i="7" s="1"/>
  <c r="D2073" i="7" s="1"/>
  <c r="B2074" i="7" a="1"/>
  <c r="B2074" i="7" s="1"/>
  <c r="C2074" i="7" s="1"/>
  <c r="D2074" i="7" s="1"/>
  <c r="B2075" i="7" a="1"/>
  <c r="B2075" i="7" s="1"/>
  <c r="C2075" i="7" s="1"/>
  <c r="D2075" i="7" s="1"/>
  <c r="B2076" i="7" a="1"/>
  <c r="B2076" i="7" s="1"/>
  <c r="C2076" i="7" s="1"/>
  <c r="D2076" i="7" s="1"/>
  <c r="B2077" i="7" a="1"/>
  <c r="B2077" i="7" s="1"/>
  <c r="C2077" i="7" s="1"/>
  <c r="D2077" i="7" s="1"/>
  <c r="B2078" i="7" a="1"/>
  <c r="B2078" i="7" s="1"/>
  <c r="C2078" i="7" s="1"/>
  <c r="D2078" i="7" s="1"/>
  <c r="B2079" i="7" a="1"/>
  <c r="B2079" i="7" s="1"/>
  <c r="C2079" i="7" s="1"/>
  <c r="D2079" i="7" s="1"/>
  <c r="B2080" i="7" a="1"/>
  <c r="B2080" i="7" s="1"/>
  <c r="C2080" i="7" s="1"/>
  <c r="D2080" i="7" s="1"/>
  <c r="B2081" i="7" a="1"/>
  <c r="B2081" i="7" s="1"/>
  <c r="C2081" i="7" s="1"/>
  <c r="D2081" i="7" s="1"/>
  <c r="B2082" i="7" a="1"/>
  <c r="B2082" i="7" s="1"/>
  <c r="C2082" i="7" s="1"/>
  <c r="D2082" i="7" s="1"/>
  <c r="B2083" i="7" a="1"/>
  <c r="B2083" i="7" s="1"/>
  <c r="C2083" i="7" s="1"/>
  <c r="D2083" i="7" s="1"/>
  <c r="B2084" i="7" a="1"/>
  <c r="B2084" i="7" s="1"/>
  <c r="C2084" i="7" s="1"/>
  <c r="D2084" i="7" s="1"/>
  <c r="B2085" i="7" a="1"/>
  <c r="B2085" i="7" s="1"/>
  <c r="C2085" i="7" s="1"/>
  <c r="D2085" i="7" s="1"/>
  <c r="B2086" i="7" a="1"/>
  <c r="B2086" i="7" s="1"/>
  <c r="C2086" i="7" s="1"/>
  <c r="D2086" i="7" s="1"/>
  <c r="B2087" i="7" a="1"/>
  <c r="B2087" i="7" s="1"/>
  <c r="C2087" i="7" s="1"/>
  <c r="D2087" i="7" s="1"/>
  <c r="B2088" i="7" a="1"/>
  <c r="B2088" i="7" s="1"/>
  <c r="C2088" i="7" s="1"/>
  <c r="D2088" i="7" s="1"/>
  <c r="B2089" i="7" a="1"/>
  <c r="B2089" i="7" s="1"/>
  <c r="C2089" i="7" s="1"/>
  <c r="D2089" i="7" s="1"/>
  <c r="B2090" i="7" a="1"/>
  <c r="B2090" i="7" s="1"/>
  <c r="C2090" i="7" s="1"/>
  <c r="D2090" i="7" s="1"/>
  <c r="B2091" i="7" a="1"/>
  <c r="B2091" i="7" s="1"/>
  <c r="C2091" i="7" s="1"/>
  <c r="D2091" i="7" s="1"/>
  <c r="B2092" i="7" a="1"/>
  <c r="B2092" i="7" s="1"/>
  <c r="C2092" i="7" s="1"/>
  <c r="D2092" i="7" s="1"/>
  <c r="B2093" i="7" a="1"/>
  <c r="B2093" i="7" s="1"/>
  <c r="C2093" i="7" s="1"/>
  <c r="D2093" i="7" s="1"/>
  <c r="B2094" i="7" a="1"/>
  <c r="B2094" i="7" s="1"/>
  <c r="C2094" i="7" s="1"/>
  <c r="D2094" i="7" s="1"/>
  <c r="B2095" i="7" a="1"/>
  <c r="B2095" i="7" s="1"/>
  <c r="C2095" i="7" s="1"/>
  <c r="D2095" i="7" s="1"/>
  <c r="B2096" i="7" a="1"/>
  <c r="B2096" i="7" s="1"/>
  <c r="C2096" i="7" s="1"/>
  <c r="D2096" i="7" s="1"/>
  <c r="B2097" i="7" a="1"/>
  <c r="B2097" i="7" s="1"/>
  <c r="C2097" i="7" s="1"/>
  <c r="D2097" i="7" s="1"/>
  <c r="B2098" i="7" a="1"/>
  <c r="B2098" i="7" s="1"/>
  <c r="C2098" i="7" s="1"/>
  <c r="D2098" i="7" s="1"/>
  <c r="B2099" i="7" a="1"/>
  <c r="B2099" i="7" s="1"/>
  <c r="C2099" i="7" s="1"/>
  <c r="D2099" i="7" s="1"/>
  <c r="B2100" i="7" a="1"/>
  <c r="B2100" i="7" s="1"/>
  <c r="C2100" i="7" s="1"/>
  <c r="D2100" i="7" s="1"/>
  <c r="B2101" i="7" a="1"/>
  <c r="B2101" i="7" s="1"/>
  <c r="C2101" i="7" s="1"/>
  <c r="D2101" i="7" s="1"/>
  <c r="B2102" i="7" a="1"/>
  <c r="B2102" i="7" s="1"/>
  <c r="C2102" i="7" s="1"/>
  <c r="D2102" i="7" s="1"/>
  <c r="B2103" i="7" a="1"/>
  <c r="B2103" i="7" s="1"/>
  <c r="C2103" i="7" s="1"/>
  <c r="D2103" i="7" s="1"/>
  <c r="B2104" i="7" a="1"/>
  <c r="B2104" i="7" s="1"/>
  <c r="C2104" i="7" s="1"/>
  <c r="D2104" i="7" s="1"/>
  <c r="B2105" i="7" a="1"/>
  <c r="B2105" i="7" s="1"/>
  <c r="C2105" i="7" s="1"/>
  <c r="D2105" i="7" s="1"/>
  <c r="B2106" i="7" a="1"/>
  <c r="B2106" i="7" s="1"/>
  <c r="C2106" i="7" s="1"/>
  <c r="D2106" i="7" s="1"/>
  <c r="B2107" i="7" a="1"/>
  <c r="B2107" i="7" s="1"/>
  <c r="C2107" i="7" s="1"/>
  <c r="D2107" i="7" s="1"/>
  <c r="B2108" i="7" a="1"/>
  <c r="B2108" i="7" s="1"/>
  <c r="C2108" i="7" s="1"/>
  <c r="D2108" i="7" s="1"/>
  <c r="B2109" i="7" a="1"/>
  <c r="B2109" i="7" s="1"/>
  <c r="C2109" i="7" s="1"/>
  <c r="D2109" i="7" s="1"/>
  <c r="B2110" i="7" a="1"/>
  <c r="B2110" i="7" s="1"/>
  <c r="C2110" i="7" s="1"/>
  <c r="D2110" i="7" s="1"/>
  <c r="B2111" i="7" a="1"/>
  <c r="B2111" i="7" s="1"/>
  <c r="C2111" i="7" s="1"/>
  <c r="D2111" i="7" s="1"/>
  <c r="B2112" i="7" a="1"/>
  <c r="B2112" i="7" s="1"/>
  <c r="C2112" i="7" s="1"/>
  <c r="D2112" i="7" s="1"/>
  <c r="B2113" i="7" a="1"/>
  <c r="B2113" i="7" s="1"/>
  <c r="C2113" i="7" s="1"/>
  <c r="D2113" i="7" s="1"/>
  <c r="B2114" i="7" a="1"/>
  <c r="B2114" i="7" s="1"/>
  <c r="C2114" i="7" s="1"/>
  <c r="D2114" i="7" s="1"/>
  <c r="B2115" i="7" a="1"/>
  <c r="B2115" i="7" s="1"/>
  <c r="C2115" i="7" s="1"/>
  <c r="D2115" i="7" s="1"/>
  <c r="B2116" i="7" a="1"/>
  <c r="B2116" i="7" s="1"/>
  <c r="C2116" i="7" s="1"/>
  <c r="D2116" i="7" s="1"/>
  <c r="B2117" i="7" a="1"/>
  <c r="B2117" i="7" s="1"/>
  <c r="C2117" i="7" s="1"/>
  <c r="D2117" i="7" s="1"/>
  <c r="B2118" i="7" a="1"/>
  <c r="B2118" i="7" s="1"/>
  <c r="C2118" i="7" s="1"/>
  <c r="D2118" i="7" s="1"/>
  <c r="B2119" i="7" a="1"/>
  <c r="B2119" i="7" s="1"/>
  <c r="C2119" i="7" s="1"/>
  <c r="D2119" i="7" s="1"/>
  <c r="B2120" i="7" a="1"/>
  <c r="B2120" i="7" s="1"/>
  <c r="C2120" i="7" s="1"/>
  <c r="D2120" i="7" s="1"/>
  <c r="B2121" i="7" a="1"/>
  <c r="B2121" i="7" s="1"/>
  <c r="C2121" i="7" s="1"/>
  <c r="D2121" i="7" s="1"/>
  <c r="B2122" i="7" a="1"/>
  <c r="B2122" i="7" s="1"/>
  <c r="C2122" i="7" s="1"/>
  <c r="D2122" i="7" s="1"/>
  <c r="B2123" i="7" a="1"/>
  <c r="B2123" i="7" s="1"/>
  <c r="C2123" i="7" s="1"/>
  <c r="D2123" i="7" s="1"/>
  <c r="B2124" i="7" a="1"/>
  <c r="B2124" i="7" s="1"/>
  <c r="C2124" i="7" s="1"/>
  <c r="D2124" i="7" s="1"/>
  <c r="B2125" i="7" a="1"/>
  <c r="B2125" i="7" s="1"/>
  <c r="C2125" i="7" s="1"/>
  <c r="D2125" i="7" s="1"/>
  <c r="B2126" i="7" a="1"/>
  <c r="B2126" i="7" s="1"/>
  <c r="C2126" i="7" s="1"/>
  <c r="D2126" i="7" s="1"/>
  <c r="B2127" i="7" a="1"/>
  <c r="B2127" i="7" s="1"/>
  <c r="C2127" i="7" s="1"/>
  <c r="D2127" i="7" s="1"/>
  <c r="B2128" i="7" a="1"/>
  <c r="B2128" i="7" s="1"/>
  <c r="C2128" i="7" s="1"/>
  <c r="D2128" i="7" s="1"/>
  <c r="B2129" i="7" a="1"/>
  <c r="B2129" i="7" s="1"/>
  <c r="C2129" i="7" s="1"/>
  <c r="D2129" i="7" s="1"/>
  <c r="B2130" i="7" a="1"/>
  <c r="B2130" i="7" s="1"/>
  <c r="C2130" i="7" s="1"/>
  <c r="D2130" i="7" s="1"/>
  <c r="B2131" i="7" a="1"/>
  <c r="B2131" i="7" s="1"/>
  <c r="C2131" i="7" s="1"/>
  <c r="D2131" i="7" s="1"/>
  <c r="B2132" i="7" a="1"/>
  <c r="B2132" i="7" s="1"/>
  <c r="C2132" i="7" s="1"/>
  <c r="D2132" i="7" s="1"/>
  <c r="B2133" i="7" a="1"/>
  <c r="B2133" i="7" s="1"/>
  <c r="C2133" i="7" s="1"/>
  <c r="D2133" i="7" s="1"/>
  <c r="B2134" i="7" a="1"/>
  <c r="B2134" i="7" s="1"/>
  <c r="C2134" i="7" s="1"/>
  <c r="D2134" i="7" s="1"/>
  <c r="B2135" i="7" a="1"/>
  <c r="B2135" i="7" s="1"/>
  <c r="C2135" i="7" s="1"/>
  <c r="D2135" i="7" s="1"/>
  <c r="B2136" i="7" a="1"/>
  <c r="B2136" i="7" s="1"/>
  <c r="C2136" i="7" s="1"/>
  <c r="D2136" i="7" s="1"/>
  <c r="B2137" i="7" a="1"/>
  <c r="B2137" i="7" s="1"/>
  <c r="C2137" i="7" s="1"/>
  <c r="D2137" i="7" s="1"/>
  <c r="B2138" i="7" a="1"/>
  <c r="B2138" i="7" s="1"/>
  <c r="C2138" i="7" s="1"/>
  <c r="D2138" i="7" s="1"/>
  <c r="B2139" i="7" a="1"/>
  <c r="B2139" i="7" s="1"/>
  <c r="C2139" i="7" s="1"/>
  <c r="D2139" i="7" s="1"/>
  <c r="B2140" i="7" a="1"/>
  <c r="B2140" i="7" s="1"/>
  <c r="C2140" i="7" s="1"/>
  <c r="D2140" i="7" s="1"/>
  <c r="B2141" i="7" a="1"/>
  <c r="B2141" i="7" s="1"/>
  <c r="C2141" i="7" s="1"/>
  <c r="D2141" i="7" s="1"/>
  <c r="B2142" i="7" a="1"/>
  <c r="B2142" i="7" s="1"/>
  <c r="C2142" i="7" s="1"/>
  <c r="D2142" i="7" s="1"/>
  <c r="B2143" i="7" a="1"/>
  <c r="B2143" i="7" s="1"/>
  <c r="C2143" i="7" s="1"/>
  <c r="D2143" i="7" s="1"/>
  <c r="B2144" i="7" a="1"/>
  <c r="B2144" i="7" s="1"/>
  <c r="C2144" i="7" s="1"/>
  <c r="D2144" i="7" s="1"/>
  <c r="B2145" i="7" a="1"/>
  <c r="B2145" i="7" s="1"/>
  <c r="C2145" i="7" s="1"/>
  <c r="D2145" i="7" s="1"/>
  <c r="B2146" i="7" a="1"/>
  <c r="B2146" i="7" s="1"/>
  <c r="C2146" i="7" s="1"/>
  <c r="D2146" i="7" s="1"/>
  <c r="B2147" i="7" a="1"/>
  <c r="B2147" i="7" s="1"/>
  <c r="C2147" i="7" s="1"/>
  <c r="D2147" i="7" s="1"/>
  <c r="B2148" i="7" a="1"/>
  <c r="B2148" i="7" s="1"/>
  <c r="C2148" i="7" s="1"/>
  <c r="D2148" i="7" s="1"/>
  <c r="B2" i="7" a="1"/>
  <c r="B2" i="7" s="1"/>
  <c r="C2" i="7" s="1"/>
  <c r="D2" i="7" s="1"/>
  <c r="A3" i="7"/>
  <c r="A4" i="7"/>
  <c r="A5" i="7"/>
  <c r="A6" i="7"/>
  <c r="A7" i="7"/>
  <c r="A8" i="7"/>
  <c r="A9" i="7"/>
  <c r="C9" i="7"/>
  <c r="D9" i="7" s="1"/>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654" i="7"/>
  <c r="A655" i="7"/>
  <c r="A656" i="7"/>
  <c r="A657" i="7"/>
  <c r="A658" i="7"/>
  <c r="A659" i="7"/>
  <c r="A660" i="7"/>
  <c r="A661" i="7"/>
  <c r="A662" i="7"/>
  <c r="A663" i="7"/>
  <c r="A664" i="7"/>
  <c r="A665" i="7"/>
  <c r="A666" i="7"/>
  <c r="A667" i="7"/>
  <c r="A668" i="7"/>
  <c r="A669" i="7"/>
  <c r="A670" i="7"/>
  <c r="A671" i="7"/>
  <c r="A672" i="7"/>
  <c r="A673" i="7"/>
  <c r="A674" i="7"/>
  <c r="A675" i="7"/>
  <c r="A676" i="7"/>
  <c r="A677" i="7"/>
  <c r="A678" i="7"/>
  <c r="A679" i="7"/>
  <c r="A680" i="7"/>
  <c r="A681" i="7"/>
  <c r="A682" i="7"/>
  <c r="A683" i="7"/>
  <c r="A684" i="7"/>
  <c r="A685" i="7"/>
  <c r="A686" i="7"/>
  <c r="A687" i="7"/>
  <c r="A688" i="7"/>
  <c r="A689" i="7"/>
  <c r="A690" i="7"/>
  <c r="A691" i="7"/>
  <c r="A692" i="7"/>
  <c r="A693" i="7"/>
  <c r="A694" i="7"/>
  <c r="A695" i="7"/>
  <c r="A696" i="7"/>
  <c r="A697" i="7"/>
  <c r="A698" i="7"/>
  <c r="A699" i="7"/>
  <c r="A700" i="7"/>
  <c r="A701" i="7"/>
  <c r="A702" i="7"/>
  <c r="A703" i="7"/>
  <c r="A704" i="7"/>
  <c r="A705" i="7"/>
  <c r="A706" i="7"/>
  <c r="A707" i="7"/>
  <c r="A708" i="7"/>
  <c r="A709" i="7"/>
  <c r="A710" i="7"/>
  <c r="A711" i="7"/>
  <c r="A712" i="7"/>
  <c r="A713" i="7"/>
  <c r="A714" i="7"/>
  <c r="A715" i="7"/>
  <c r="A716" i="7"/>
  <c r="A717" i="7"/>
  <c r="A718" i="7"/>
  <c r="A719" i="7"/>
  <c r="A720" i="7"/>
  <c r="A721" i="7"/>
  <c r="A722" i="7"/>
  <c r="A723" i="7"/>
  <c r="A724" i="7"/>
  <c r="A725" i="7"/>
  <c r="A726" i="7"/>
  <c r="A727" i="7"/>
  <c r="A728" i="7"/>
  <c r="A729" i="7"/>
  <c r="A730" i="7"/>
  <c r="A731" i="7"/>
  <c r="A732" i="7"/>
  <c r="A733" i="7"/>
  <c r="A734" i="7"/>
  <c r="A735" i="7"/>
  <c r="A736" i="7"/>
  <c r="A737" i="7"/>
  <c r="A738" i="7"/>
  <c r="A739" i="7"/>
  <c r="A740" i="7"/>
  <c r="A741" i="7"/>
  <c r="A742" i="7"/>
  <c r="A743" i="7"/>
  <c r="A744" i="7"/>
  <c r="A745" i="7"/>
  <c r="A746" i="7"/>
  <c r="A747" i="7"/>
  <c r="A748" i="7"/>
  <c r="A749" i="7"/>
  <c r="A750" i="7"/>
  <c r="A751" i="7"/>
  <c r="A752" i="7"/>
  <c r="A753" i="7"/>
  <c r="A754" i="7"/>
  <c r="A755" i="7"/>
  <c r="A756" i="7"/>
  <c r="A757" i="7"/>
  <c r="A758" i="7"/>
  <c r="A759" i="7"/>
  <c r="A760" i="7"/>
  <c r="A761" i="7"/>
  <c r="A762" i="7"/>
  <c r="A763" i="7"/>
  <c r="A764" i="7"/>
  <c r="A765" i="7"/>
  <c r="A766" i="7"/>
  <c r="A767" i="7"/>
  <c r="A768" i="7"/>
  <c r="A769" i="7"/>
  <c r="A770" i="7"/>
  <c r="A771" i="7"/>
  <c r="A772" i="7"/>
  <c r="A773" i="7"/>
  <c r="A774" i="7"/>
  <c r="A775" i="7"/>
  <c r="A776" i="7"/>
  <c r="A777" i="7"/>
  <c r="A778" i="7"/>
  <c r="A779" i="7"/>
  <c r="A780" i="7"/>
  <c r="A781" i="7"/>
  <c r="A782" i="7"/>
  <c r="A783" i="7"/>
  <c r="A784" i="7"/>
  <c r="A785" i="7"/>
  <c r="A786" i="7"/>
  <c r="A787" i="7"/>
  <c r="A788" i="7"/>
  <c r="A789" i="7"/>
  <c r="A790" i="7"/>
  <c r="A791" i="7"/>
  <c r="A792" i="7"/>
  <c r="A793" i="7"/>
  <c r="A794" i="7"/>
  <c r="A795" i="7"/>
  <c r="A796" i="7"/>
  <c r="A797" i="7"/>
  <c r="A798" i="7"/>
  <c r="A799" i="7"/>
  <c r="A800" i="7"/>
  <c r="A801" i="7"/>
  <c r="A802" i="7"/>
  <c r="A803" i="7"/>
  <c r="A804" i="7"/>
  <c r="A805" i="7"/>
  <c r="A806" i="7"/>
  <c r="A807" i="7"/>
  <c r="A808" i="7"/>
  <c r="A809" i="7"/>
  <c r="A810" i="7"/>
  <c r="A811" i="7"/>
  <c r="A812" i="7"/>
  <c r="A813" i="7"/>
  <c r="A814" i="7"/>
  <c r="A815" i="7"/>
  <c r="A816" i="7"/>
  <c r="A817" i="7"/>
  <c r="A818" i="7"/>
  <c r="A819" i="7"/>
  <c r="A820" i="7"/>
  <c r="A821" i="7"/>
  <c r="A822" i="7"/>
  <c r="A823" i="7"/>
  <c r="A824" i="7"/>
  <c r="A825" i="7"/>
  <c r="A826" i="7"/>
  <c r="A827" i="7"/>
  <c r="A828" i="7"/>
  <c r="A829" i="7"/>
  <c r="A830" i="7"/>
  <c r="A831" i="7"/>
  <c r="A832" i="7"/>
  <c r="A833" i="7"/>
  <c r="A834" i="7"/>
  <c r="A835" i="7"/>
  <c r="A836" i="7"/>
  <c r="A837" i="7"/>
  <c r="A838" i="7"/>
  <c r="A839" i="7"/>
  <c r="A840" i="7"/>
  <c r="A841" i="7"/>
  <c r="A842" i="7"/>
  <c r="A843" i="7"/>
  <c r="A844" i="7"/>
  <c r="A845" i="7"/>
  <c r="A846" i="7"/>
  <c r="A847" i="7"/>
  <c r="A848" i="7"/>
  <c r="A849" i="7"/>
  <c r="A850" i="7"/>
  <c r="A851" i="7"/>
  <c r="A852" i="7"/>
  <c r="A853" i="7"/>
  <c r="A854" i="7"/>
  <c r="A855" i="7"/>
  <c r="A856" i="7"/>
  <c r="A857" i="7"/>
  <c r="A858" i="7"/>
  <c r="A859" i="7"/>
  <c r="A860" i="7"/>
  <c r="A861" i="7"/>
  <c r="A862" i="7"/>
  <c r="A863" i="7"/>
  <c r="A864" i="7"/>
  <c r="A865" i="7"/>
  <c r="A866" i="7"/>
  <c r="A867" i="7"/>
  <c r="A868" i="7"/>
  <c r="A869" i="7"/>
  <c r="A870" i="7"/>
  <c r="A871" i="7"/>
  <c r="A872" i="7"/>
  <c r="A873" i="7"/>
  <c r="A874" i="7"/>
  <c r="A875" i="7"/>
  <c r="A876" i="7"/>
  <c r="A877" i="7"/>
  <c r="A878" i="7"/>
  <c r="A879" i="7"/>
  <c r="A880" i="7"/>
  <c r="A881" i="7"/>
  <c r="A882" i="7"/>
  <c r="A883" i="7"/>
  <c r="A884" i="7"/>
  <c r="A885" i="7"/>
  <c r="A886" i="7"/>
  <c r="A887" i="7"/>
  <c r="A888" i="7"/>
  <c r="A889" i="7"/>
  <c r="A890" i="7"/>
  <c r="A891" i="7"/>
  <c r="A892" i="7"/>
  <c r="A893" i="7"/>
  <c r="A894" i="7"/>
  <c r="A895" i="7"/>
  <c r="A896" i="7"/>
  <c r="A897" i="7"/>
  <c r="A898" i="7"/>
  <c r="A899" i="7"/>
  <c r="A900" i="7"/>
  <c r="A901" i="7"/>
  <c r="A902" i="7"/>
  <c r="A903" i="7"/>
  <c r="A904" i="7"/>
  <c r="A905" i="7"/>
  <c r="A906" i="7"/>
  <c r="A907" i="7"/>
  <c r="A908" i="7"/>
  <c r="A909" i="7"/>
  <c r="A910" i="7"/>
  <c r="A911" i="7"/>
  <c r="A912" i="7"/>
  <c r="A913" i="7"/>
  <c r="A914" i="7"/>
  <c r="A915" i="7"/>
  <c r="A916" i="7"/>
  <c r="A917" i="7"/>
  <c r="A918" i="7"/>
  <c r="A919" i="7"/>
  <c r="A920" i="7"/>
  <c r="A921" i="7"/>
  <c r="A922" i="7"/>
  <c r="A923" i="7"/>
  <c r="A924" i="7"/>
  <c r="A925" i="7"/>
  <c r="A926" i="7"/>
  <c r="A927" i="7"/>
  <c r="A928" i="7"/>
  <c r="A929" i="7"/>
  <c r="A930" i="7"/>
  <c r="A931" i="7"/>
  <c r="A932" i="7"/>
  <c r="A933" i="7"/>
  <c r="A934" i="7"/>
  <c r="A935" i="7"/>
  <c r="A936" i="7"/>
  <c r="A937" i="7"/>
  <c r="A938" i="7"/>
  <c r="A939" i="7"/>
  <c r="A940" i="7"/>
  <c r="A941" i="7"/>
  <c r="A942" i="7"/>
  <c r="A943" i="7"/>
  <c r="A944" i="7"/>
  <c r="A945" i="7"/>
  <c r="A946" i="7"/>
  <c r="A947" i="7"/>
  <c r="A948" i="7"/>
  <c r="A949" i="7"/>
  <c r="A950" i="7"/>
  <c r="A951" i="7"/>
  <c r="A952" i="7"/>
  <c r="A953" i="7"/>
  <c r="A954" i="7"/>
  <c r="A955" i="7"/>
  <c r="A956" i="7"/>
  <c r="A957" i="7"/>
  <c r="A958" i="7"/>
  <c r="A959" i="7"/>
  <c r="A960" i="7"/>
  <c r="A961" i="7"/>
  <c r="A962" i="7"/>
  <c r="A963" i="7"/>
  <c r="A964" i="7"/>
  <c r="A965" i="7"/>
  <c r="A966" i="7"/>
  <c r="A967" i="7"/>
  <c r="A968" i="7"/>
  <c r="A969" i="7"/>
  <c r="A970" i="7"/>
  <c r="A971" i="7"/>
  <c r="A972" i="7"/>
  <c r="A973" i="7"/>
  <c r="A974" i="7"/>
  <c r="A975" i="7"/>
  <c r="A976" i="7"/>
  <c r="A977" i="7"/>
  <c r="A978" i="7"/>
  <c r="A979" i="7"/>
  <c r="A980" i="7"/>
  <c r="A981" i="7"/>
  <c r="A982" i="7"/>
  <c r="A983" i="7"/>
  <c r="A984" i="7"/>
  <c r="A985" i="7"/>
  <c r="A986" i="7"/>
  <c r="A987" i="7"/>
  <c r="A988" i="7"/>
  <c r="A989" i="7"/>
  <c r="A990" i="7"/>
  <c r="A991" i="7"/>
  <c r="A992" i="7"/>
  <c r="A993" i="7"/>
  <c r="A994" i="7"/>
  <c r="A995" i="7"/>
  <c r="A996" i="7"/>
  <c r="A997" i="7"/>
  <c r="A998" i="7"/>
  <c r="A999" i="7"/>
  <c r="A1000" i="7"/>
  <c r="A1001" i="7"/>
  <c r="A1002" i="7"/>
  <c r="A1003" i="7"/>
  <c r="A1004" i="7"/>
  <c r="A1005" i="7"/>
  <c r="A1006" i="7"/>
  <c r="A1007" i="7"/>
  <c r="A1008" i="7"/>
  <c r="A1009" i="7"/>
  <c r="A1010" i="7"/>
  <c r="A1011" i="7"/>
  <c r="A1012" i="7"/>
  <c r="A1013" i="7"/>
  <c r="A1014" i="7"/>
  <c r="A1015" i="7"/>
  <c r="A1016" i="7"/>
  <c r="A1017" i="7"/>
  <c r="A1018" i="7"/>
  <c r="A1019" i="7"/>
  <c r="A1020" i="7"/>
  <c r="A1021" i="7"/>
  <c r="A1022" i="7"/>
  <c r="A1023" i="7"/>
  <c r="A1024" i="7"/>
  <c r="A1025" i="7"/>
  <c r="A1026" i="7"/>
  <c r="A1027" i="7"/>
  <c r="A1028" i="7"/>
  <c r="A1029" i="7"/>
  <c r="A1030" i="7"/>
  <c r="A1031" i="7"/>
  <c r="A1032" i="7"/>
  <c r="A1033" i="7"/>
  <c r="A1034" i="7"/>
  <c r="A1035" i="7"/>
  <c r="A1036" i="7"/>
  <c r="A1037" i="7"/>
  <c r="A1038" i="7"/>
  <c r="A1039" i="7"/>
  <c r="A1040" i="7"/>
  <c r="A1041" i="7"/>
  <c r="A1042" i="7"/>
  <c r="A1043" i="7"/>
  <c r="A1044" i="7"/>
  <c r="A1045" i="7"/>
  <c r="A1046" i="7"/>
  <c r="A1047" i="7"/>
  <c r="A1048" i="7"/>
  <c r="A1049" i="7"/>
  <c r="A1050" i="7"/>
  <c r="A1051" i="7"/>
  <c r="A1052" i="7"/>
  <c r="A1053" i="7"/>
  <c r="A1054" i="7"/>
  <c r="A1055" i="7"/>
  <c r="A1056" i="7"/>
  <c r="A1057" i="7"/>
  <c r="A1058" i="7"/>
  <c r="A1059" i="7"/>
  <c r="A1060" i="7"/>
  <c r="A1061" i="7"/>
  <c r="A1062" i="7"/>
  <c r="A1063" i="7"/>
  <c r="A1064" i="7"/>
  <c r="A1065" i="7"/>
  <c r="A1066" i="7"/>
  <c r="A1067" i="7"/>
  <c r="A1068" i="7"/>
  <c r="A1069" i="7"/>
  <c r="A1070" i="7"/>
  <c r="A1071" i="7"/>
  <c r="A1072" i="7"/>
  <c r="A1073" i="7"/>
  <c r="A1074" i="7"/>
  <c r="A1075" i="7"/>
  <c r="A1076" i="7"/>
  <c r="A1077" i="7"/>
  <c r="A1078" i="7"/>
  <c r="A1079" i="7"/>
  <c r="A1080" i="7"/>
  <c r="A1081" i="7"/>
  <c r="A1082" i="7"/>
  <c r="A1083" i="7"/>
  <c r="A1084" i="7"/>
  <c r="A1085" i="7"/>
  <c r="A1086" i="7"/>
  <c r="A1087" i="7"/>
  <c r="A1088" i="7"/>
  <c r="A1089" i="7"/>
  <c r="A1090" i="7"/>
  <c r="A1091" i="7"/>
  <c r="A1092" i="7"/>
  <c r="A1093" i="7"/>
  <c r="A1094" i="7"/>
  <c r="A1095" i="7"/>
  <c r="A1096" i="7"/>
  <c r="A1097" i="7"/>
  <c r="A1098" i="7"/>
  <c r="A1099" i="7"/>
  <c r="A1100" i="7"/>
  <c r="A1101" i="7"/>
  <c r="A1102" i="7"/>
  <c r="A1103" i="7"/>
  <c r="A1104" i="7"/>
  <c r="A1105" i="7"/>
  <c r="A1106" i="7"/>
  <c r="A1107" i="7"/>
  <c r="A1108" i="7"/>
  <c r="A1109" i="7"/>
  <c r="A1110" i="7"/>
  <c r="A1111" i="7"/>
  <c r="A1112" i="7"/>
  <c r="A1113" i="7"/>
  <c r="A1114" i="7"/>
  <c r="A1115" i="7"/>
  <c r="A1116" i="7"/>
  <c r="A1117" i="7"/>
  <c r="A1118" i="7"/>
  <c r="A1119" i="7"/>
  <c r="A1120" i="7"/>
  <c r="A1121" i="7"/>
  <c r="A1122" i="7"/>
  <c r="A1123" i="7"/>
  <c r="A1124" i="7"/>
  <c r="A1125" i="7"/>
  <c r="A1126" i="7"/>
  <c r="A1127" i="7"/>
  <c r="A1128" i="7"/>
  <c r="A1129" i="7"/>
  <c r="A1130" i="7"/>
  <c r="A1131" i="7"/>
  <c r="A1132" i="7"/>
  <c r="A1133" i="7"/>
  <c r="A1134" i="7"/>
  <c r="A1135" i="7"/>
  <c r="A1136" i="7"/>
  <c r="A1137" i="7"/>
  <c r="A1138" i="7"/>
  <c r="A1139" i="7"/>
  <c r="A1140" i="7"/>
  <c r="A1141" i="7"/>
  <c r="A1142" i="7"/>
  <c r="A1143" i="7"/>
  <c r="A1144" i="7"/>
  <c r="A1145" i="7"/>
  <c r="A1146" i="7"/>
  <c r="A1147" i="7"/>
  <c r="A1148" i="7"/>
  <c r="A1149" i="7"/>
  <c r="A1150" i="7"/>
  <c r="A1151" i="7"/>
  <c r="A1152" i="7"/>
  <c r="A1153" i="7"/>
  <c r="A1154" i="7"/>
  <c r="A1155" i="7"/>
  <c r="A1156" i="7"/>
  <c r="A1157" i="7"/>
  <c r="A1158" i="7"/>
  <c r="A1159" i="7"/>
  <c r="A1160" i="7"/>
  <c r="A1161" i="7"/>
  <c r="A1162" i="7"/>
  <c r="A1163" i="7"/>
  <c r="A1164" i="7"/>
  <c r="A1165" i="7"/>
  <c r="A1166" i="7"/>
  <c r="A1167" i="7"/>
  <c r="A1168" i="7"/>
  <c r="A1169" i="7"/>
  <c r="A1170" i="7"/>
  <c r="A1171" i="7"/>
  <c r="A1172" i="7"/>
  <c r="A1173" i="7"/>
  <c r="A1174" i="7"/>
  <c r="A1175" i="7"/>
  <c r="A1176" i="7"/>
  <c r="A1177" i="7"/>
  <c r="A1178" i="7"/>
  <c r="A1179" i="7"/>
  <c r="A1180" i="7"/>
  <c r="A1181" i="7"/>
  <c r="A1182" i="7"/>
  <c r="A1183" i="7"/>
  <c r="A1184" i="7"/>
  <c r="A1185" i="7"/>
  <c r="A1186" i="7"/>
  <c r="A1187" i="7"/>
  <c r="A1188" i="7"/>
  <c r="A1189" i="7"/>
  <c r="A1190" i="7"/>
  <c r="A1191" i="7"/>
  <c r="A1192" i="7"/>
  <c r="A1193" i="7"/>
  <c r="A1194" i="7"/>
  <c r="A1195" i="7"/>
  <c r="A1196" i="7"/>
  <c r="A1197" i="7"/>
  <c r="A1198" i="7"/>
  <c r="A1199" i="7"/>
  <c r="A1200" i="7"/>
  <c r="A1201" i="7"/>
  <c r="A1202" i="7"/>
  <c r="A1203" i="7"/>
  <c r="A1204" i="7"/>
  <c r="A1205" i="7"/>
  <c r="A1206" i="7"/>
  <c r="A1207" i="7"/>
  <c r="A1208" i="7"/>
  <c r="A1209" i="7"/>
  <c r="A1210" i="7"/>
  <c r="A1211" i="7"/>
  <c r="A1212" i="7"/>
  <c r="A1213" i="7"/>
  <c r="A1214" i="7"/>
  <c r="A1215" i="7"/>
  <c r="A1216" i="7"/>
  <c r="A1217" i="7"/>
  <c r="A1218" i="7"/>
  <c r="A1219" i="7"/>
  <c r="A1220" i="7"/>
  <c r="A1221" i="7"/>
  <c r="A1222" i="7"/>
  <c r="A1223" i="7"/>
  <c r="A1224" i="7"/>
  <c r="A1225" i="7"/>
  <c r="A1226" i="7"/>
  <c r="A1227" i="7"/>
  <c r="A1228" i="7"/>
  <c r="A1229" i="7"/>
  <c r="A1230" i="7"/>
  <c r="A1231" i="7"/>
  <c r="A1232" i="7"/>
  <c r="A1233" i="7"/>
  <c r="A1234" i="7"/>
  <c r="A1235" i="7"/>
  <c r="A1236" i="7"/>
  <c r="A1237" i="7"/>
  <c r="A1238" i="7"/>
  <c r="A1239" i="7"/>
  <c r="A1240" i="7"/>
  <c r="A1241" i="7"/>
  <c r="A1242" i="7"/>
  <c r="A1243" i="7"/>
  <c r="A1244" i="7"/>
  <c r="A1245" i="7"/>
  <c r="A1246" i="7"/>
  <c r="A1247" i="7"/>
  <c r="A1248" i="7"/>
  <c r="A1249" i="7"/>
  <c r="A1250" i="7"/>
  <c r="A1251" i="7"/>
  <c r="A1252" i="7"/>
  <c r="A1253" i="7"/>
  <c r="A1254" i="7"/>
  <c r="A1255" i="7"/>
  <c r="A1256" i="7"/>
  <c r="A1257" i="7"/>
  <c r="A1258" i="7"/>
  <c r="A1259" i="7"/>
  <c r="A1260" i="7"/>
  <c r="A1261" i="7"/>
  <c r="A1262" i="7"/>
  <c r="A1263" i="7"/>
  <c r="A1264" i="7"/>
  <c r="A1265" i="7"/>
  <c r="A1266" i="7"/>
  <c r="A1267" i="7"/>
  <c r="A1268" i="7"/>
  <c r="A1269" i="7"/>
  <c r="A1270" i="7"/>
  <c r="A1271" i="7"/>
  <c r="A1272" i="7"/>
  <c r="A1273" i="7"/>
  <c r="A1274" i="7"/>
  <c r="A1275" i="7"/>
  <c r="A1276" i="7"/>
  <c r="A1277" i="7"/>
  <c r="A1278" i="7"/>
  <c r="A1279" i="7"/>
  <c r="A1280" i="7"/>
  <c r="A1281" i="7"/>
  <c r="A1282" i="7"/>
  <c r="A1283" i="7"/>
  <c r="A1284" i="7"/>
  <c r="A1285" i="7"/>
  <c r="A1286" i="7"/>
  <c r="A1287" i="7"/>
  <c r="A1288" i="7"/>
  <c r="A1289" i="7"/>
  <c r="A1290" i="7"/>
  <c r="A1291" i="7"/>
  <c r="A1292" i="7"/>
  <c r="A1293" i="7"/>
  <c r="A1294" i="7"/>
  <c r="A1295" i="7"/>
  <c r="A1296" i="7"/>
  <c r="A1297" i="7"/>
  <c r="A1298" i="7"/>
  <c r="A1299" i="7"/>
  <c r="A1300" i="7"/>
  <c r="A1301" i="7"/>
  <c r="A1302" i="7"/>
  <c r="A1303" i="7"/>
  <c r="A1304" i="7"/>
  <c r="A1305" i="7"/>
  <c r="A1306" i="7"/>
  <c r="A1307" i="7"/>
  <c r="A1308" i="7"/>
  <c r="A1309" i="7"/>
  <c r="A1310" i="7"/>
  <c r="A1311" i="7"/>
  <c r="A1312" i="7"/>
  <c r="A1313" i="7"/>
  <c r="A1314" i="7"/>
  <c r="A1315" i="7"/>
  <c r="A1316" i="7"/>
  <c r="A1317" i="7"/>
  <c r="A1318" i="7"/>
  <c r="A1319" i="7"/>
  <c r="A1320" i="7"/>
  <c r="A1321" i="7"/>
  <c r="A1322" i="7"/>
  <c r="A1323" i="7"/>
  <c r="A1324" i="7"/>
  <c r="A1325" i="7"/>
  <c r="A1326" i="7"/>
  <c r="A1327" i="7"/>
  <c r="A1328" i="7"/>
  <c r="A1329" i="7"/>
  <c r="A1330" i="7"/>
  <c r="A1331" i="7"/>
  <c r="A1332" i="7"/>
  <c r="A1333" i="7"/>
  <c r="A1334" i="7"/>
  <c r="A1335" i="7"/>
  <c r="A1336" i="7"/>
  <c r="A1337" i="7"/>
  <c r="A1338" i="7"/>
  <c r="A1339" i="7"/>
  <c r="A1340" i="7"/>
  <c r="A1341" i="7"/>
  <c r="A1342" i="7"/>
  <c r="A1343" i="7"/>
  <c r="A1344" i="7"/>
  <c r="A1345" i="7"/>
  <c r="A1346" i="7"/>
  <c r="A1347" i="7"/>
  <c r="A1348" i="7"/>
  <c r="A1349" i="7"/>
  <c r="A1350" i="7"/>
  <c r="A1351" i="7"/>
  <c r="A1352" i="7"/>
  <c r="A1353" i="7"/>
  <c r="A1354" i="7"/>
  <c r="A1355" i="7"/>
  <c r="A1356" i="7"/>
  <c r="A1357" i="7"/>
  <c r="A1358" i="7"/>
  <c r="A1359" i="7"/>
  <c r="A1360" i="7"/>
  <c r="A1361" i="7"/>
  <c r="A1362" i="7"/>
  <c r="A1363" i="7"/>
  <c r="A1364" i="7"/>
  <c r="A1365" i="7"/>
  <c r="A1366" i="7"/>
  <c r="A1367" i="7"/>
  <c r="A1368" i="7"/>
  <c r="A1369" i="7"/>
  <c r="A1370" i="7"/>
  <c r="A1371" i="7"/>
  <c r="A1372" i="7"/>
  <c r="A1373" i="7"/>
  <c r="A1374" i="7"/>
  <c r="A1375" i="7"/>
  <c r="A1376" i="7"/>
  <c r="A1377" i="7"/>
  <c r="A1378" i="7"/>
  <c r="A1379" i="7"/>
  <c r="A1380" i="7"/>
  <c r="A1381" i="7"/>
  <c r="A1382" i="7"/>
  <c r="A1383" i="7"/>
  <c r="A1384" i="7"/>
  <c r="A1385" i="7"/>
  <c r="A1386" i="7"/>
  <c r="A1387" i="7"/>
  <c r="A1388" i="7"/>
  <c r="A1389" i="7"/>
  <c r="A1390" i="7"/>
  <c r="A1391" i="7"/>
  <c r="A1392" i="7"/>
  <c r="A1393" i="7"/>
  <c r="A1394" i="7"/>
  <c r="A1395" i="7"/>
  <c r="A1396" i="7"/>
  <c r="A1397" i="7"/>
  <c r="A1398" i="7"/>
  <c r="A1399" i="7"/>
  <c r="A1400" i="7"/>
  <c r="A1401" i="7"/>
  <c r="A1402" i="7"/>
  <c r="A1403" i="7"/>
  <c r="A1404" i="7"/>
  <c r="A1405" i="7"/>
  <c r="A1406" i="7"/>
  <c r="A1407" i="7"/>
  <c r="A1408" i="7"/>
  <c r="A1409" i="7"/>
  <c r="A1410" i="7"/>
  <c r="A1411" i="7"/>
  <c r="A1412" i="7"/>
  <c r="A1413" i="7"/>
  <c r="A1414" i="7"/>
  <c r="A1415" i="7"/>
  <c r="A1416" i="7"/>
  <c r="A1417" i="7"/>
  <c r="A1418" i="7"/>
  <c r="A1419" i="7"/>
  <c r="A1420" i="7"/>
  <c r="A1421" i="7"/>
  <c r="A1422" i="7"/>
  <c r="A1423" i="7"/>
  <c r="A1424" i="7"/>
  <c r="A1425" i="7"/>
  <c r="A1426" i="7"/>
  <c r="A1427" i="7"/>
  <c r="A1428" i="7"/>
  <c r="A1429" i="7"/>
  <c r="A1430" i="7"/>
  <c r="A1431" i="7"/>
  <c r="A1432" i="7"/>
  <c r="A1433" i="7"/>
  <c r="A1434" i="7"/>
  <c r="A1435" i="7"/>
  <c r="A1436" i="7"/>
  <c r="A1437" i="7"/>
  <c r="A1438" i="7"/>
  <c r="A1439" i="7"/>
  <c r="A1440" i="7"/>
  <c r="A1441" i="7"/>
  <c r="A1442" i="7"/>
  <c r="A1443" i="7"/>
  <c r="A1444" i="7"/>
  <c r="A1445" i="7"/>
  <c r="A1446" i="7"/>
  <c r="A1447" i="7"/>
  <c r="A1448" i="7"/>
  <c r="A1449" i="7"/>
  <c r="A1450" i="7"/>
  <c r="A1451" i="7"/>
  <c r="A1452" i="7"/>
  <c r="A1453" i="7"/>
  <c r="A1454" i="7"/>
  <c r="A1455" i="7"/>
  <c r="A1456" i="7"/>
  <c r="A1457" i="7"/>
  <c r="A1458" i="7"/>
  <c r="A1459" i="7"/>
  <c r="A1460" i="7"/>
  <c r="A1461" i="7"/>
  <c r="A1462" i="7"/>
  <c r="A1463" i="7"/>
  <c r="A1464" i="7"/>
  <c r="A1465" i="7"/>
  <c r="A1466" i="7"/>
  <c r="A1467" i="7"/>
  <c r="A1468" i="7"/>
  <c r="A1469" i="7"/>
  <c r="A1470" i="7"/>
  <c r="A1471" i="7"/>
  <c r="A1472" i="7"/>
  <c r="A1473" i="7"/>
  <c r="A1474" i="7"/>
  <c r="A1475" i="7"/>
  <c r="A1476" i="7"/>
  <c r="A1477" i="7"/>
  <c r="A1478" i="7"/>
  <c r="A1479" i="7"/>
  <c r="A1480" i="7"/>
  <c r="A1481" i="7"/>
  <c r="A1482" i="7"/>
  <c r="A1483" i="7"/>
  <c r="A1484" i="7"/>
  <c r="A1485" i="7"/>
  <c r="A1486" i="7"/>
  <c r="A1487" i="7"/>
  <c r="A1488" i="7"/>
  <c r="A1489" i="7"/>
  <c r="A1490" i="7"/>
  <c r="A1491" i="7"/>
  <c r="A1492" i="7"/>
  <c r="A1493" i="7"/>
  <c r="A1494" i="7"/>
  <c r="A1495" i="7"/>
  <c r="A1496" i="7"/>
  <c r="A1497" i="7"/>
  <c r="A1498" i="7"/>
  <c r="A1499" i="7"/>
  <c r="A1500" i="7"/>
  <c r="A1501" i="7"/>
  <c r="A1502" i="7"/>
  <c r="A1503" i="7"/>
  <c r="A1504" i="7"/>
  <c r="A1505" i="7"/>
  <c r="A1506" i="7"/>
  <c r="A1507" i="7"/>
  <c r="A1508" i="7"/>
  <c r="A1509" i="7"/>
  <c r="A1510" i="7"/>
  <c r="A1511" i="7"/>
  <c r="A1512" i="7"/>
  <c r="A1513" i="7"/>
  <c r="A1514" i="7"/>
  <c r="A1515" i="7"/>
  <c r="A1516" i="7"/>
  <c r="A1517" i="7"/>
  <c r="A1518" i="7"/>
  <c r="A1519" i="7"/>
  <c r="A1520" i="7"/>
  <c r="A1521" i="7"/>
  <c r="A1522" i="7"/>
  <c r="A1523" i="7"/>
  <c r="A1524" i="7"/>
  <c r="A1525" i="7"/>
  <c r="A1526" i="7"/>
  <c r="A1527" i="7"/>
  <c r="A1528" i="7"/>
  <c r="A1529" i="7"/>
  <c r="A1530" i="7"/>
  <c r="A1531" i="7"/>
  <c r="A1532" i="7"/>
  <c r="A1533" i="7"/>
  <c r="A1534" i="7"/>
  <c r="A1535" i="7"/>
  <c r="A1536" i="7"/>
  <c r="A1537" i="7"/>
  <c r="A1538" i="7"/>
  <c r="A1539" i="7"/>
  <c r="A1540" i="7"/>
  <c r="A1541" i="7"/>
  <c r="A1542" i="7"/>
  <c r="A1543" i="7"/>
  <c r="A1544" i="7"/>
  <c r="A1545" i="7"/>
  <c r="A1546" i="7"/>
  <c r="A1547" i="7"/>
  <c r="A1548" i="7"/>
  <c r="A1549" i="7"/>
  <c r="A1550" i="7"/>
  <c r="A1551" i="7"/>
  <c r="A1552" i="7"/>
  <c r="A1553" i="7"/>
  <c r="A1554" i="7"/>
  <c r="A1555" i="7"/>
  <c r="A1556" i="7"/>
  <c r="A1557" i="7"/>
  <c r="A1558" i="7"/>
  <c r="A1559" i="7"/>
  <c r="A1560" i="7"/>
  <c r="A1561" i="7"/>
  <c r="A1562" i="7"/>
  <c r="A1563" i="7"/>
  <c r="A1564" i="7"/>
  <c r="A1565" i="7"/>
  <c r="A1566" i="7"/>
  <c r="A1567" i="7"/>
  <c r="A1568" i="7"/>
  <c r="A1569" i="7"/>
  <c r="A1570" i="7"/>
  <c r="A1571" i="7"/>
  <c r="A1572" i="7"/>
  <c r="A1573" i="7"/>
  <c r="A1574" i="7"/>
  <c r="A1575" i="7"/>
  <c r="A1576" i="7"/>
  <c r="A1577" i="7"/>
  <c r="A1578" i="7"/>
  <c r="A1579" i="7"/>
  <c r="A1580" i="7"/>
  <c r="A1581" i="7"/>
  <c r="A1582" i="7"/>
  <c r="A1583" i="7"/>
  <c r="A1584" i="7"/>
  <c r="A1585" i="7"/>
  <c r="A1586" i="7"/>
  <c r="A1587" i="7"/>
  <c r="A1588" i="7"/>
  <c r="A1589" i="7"/>
  <c r="A1590" i="7"/>
  <c r="A1591" i="7"/>
  <c r="A1592" i="7"/>
  <c r="A1593" i="7"/>
  <c r="A1594" i="7"/>
  <c r="A1595" i="7"/>
  <c r="A1596" i="7"/>
  <c r="A1597" i="7"/>
  <c r="A1598" i="7"/>
  <c r="A1599" i="7"/>
  <c r="A1600" i="7"/>
  <c r="A1601" i="7"/>
  <c r="A1602" i="7"/>
  <c r="A1603" i="7"/>
  <c r="A1604" i="7"/>
  <c r="A1605" i="7"/>
  <c r="A1606" i="7"/>
  <c r="A1607" i="7"/>
  <c r="A1608" i="7"/>
  <c r="A1609" i="7"/>
  <c r="A1610" i="7"/>
  <c r="A1611" i="7"/>
  <c r="A1612" i="7"/>
  <c r="A1613" i="7"/>
  <c r="A1614" i="7"/>
  <c r="A1615" i="7"/>
  <c r="A1616" i="7"/>
  <c r="A1617" i="7"/>
  <c r="A1618" i="7"/>
  <c r="A1619" i="7"/>
  <c r="A1620" i="7"/>
  <c r="A1621" i="7"/>
  <c r="A1622" i="7"/>
  <c r="A1623" i="7"/>
  <c r="A1624" i="7"/>
  <c r="A1625"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655"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769"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826"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2" i="7"/>
  <c r="A1863" i="7"/>
  <c r="A1864" i="7"/>
  <c r="A1865" i="7"/>
  <c r="A1866" i="7"/>
  <c r="A1867" i="7"/>
  <c r="A1868" i="7"/>
  <c r="A1869" i="7"/>
  <c r="A1870" i="7"/>
  <c r="A1871" i="7"/>
  <c r="A1872" i="7"/>
  <c r="A1873" i="7"/>
  <c r="A1874" i="7"/>
  <c r="A1875" i="7"/>
  <c r="A1876" i="7"/>
  <c r="A1877" i="7"/>
  <c r="A1878" i="7"/>
  <c r="A1879" i="7"/>
  <c r="A1880" i="7"/>
  <c r="A1881" i="7"/>
  <c r="A1882" i="7"/>
  <c r="A1883" i="7"/>
  <c r="A1884" i="7"/>
  <c r="A1885" i="7"/>
  <c r="A1886" i="7"/>
  <c r="A1887" i="7"/>
  <c r="A1888" i="7"/>
  <c r="A1889" i="7"/>
  <c r="A1890" i="7"/>
  <c r="A1891" i="7"/>
  <c r="A1892" i="7"/>
  <c r="A1893" i="7"/>
  <c r="A1894" i="7"/>
  <c r="A1895" i="7"/>
  <c r="A1896" i="7"/>
  <c r="A1897" i="7"/>
  <c r="A1898" i="7"/>
  <c r="A1899" i="7"/>
  <c r="A1900" i="7"/>
  <c r="A1901" i="7"/>
  <c r="A1902" i="7"/>
  <c r="A1903" i="7"/>
  <c r="A1904"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936" i="7"/>
  <c r="A1937" i="7"/>
  <c r="A1938" i="7"/>
  <c r="A1939" i="7"/>
  <c r="A1940" i="7"/>
  <c r="A1941" i="7"/>
  <c r="A1942" i="7"/>
  <c r="A1943" i="7"/>
  <c r="A1944" i="7"/>
  <c r="A1945" i="7"/>
  <c r="A1946" i="7"/>
  <c r="A1947" i="7"/>
  <c r="A1948" i="7"/>
  <c r="A1949" i="7"/>
  <c r="A1950" i="7"/>
  <c r="A1951" i="7"/>
  <c r="A1952" i="7"/>
  <c r="A1953" i="7"/>
  <c r="A1954" i="7"/>
  <c r="A1955" i="7"/>
  <c r="A1956" i="7"/>
  <c r="A1957" i="7"/>
  <c r="A1958" i="7"/>
  <c r="A1959" i="7"/>
  <c r="A1960" i="7"/>
  <c r="A1961" i="7"/>
  <c r="A1962" i="7"/>
  <c r="A1963" i="7"/>
  <c r="A1964" i="7"/>
  <c r="A1965" i="7"/>
  <c r="A1966" i="7"/>
  <c r="A1967" i="7"/>
  <c r="A1968" i="7"/>
  <c r="A1969" i="7"/>
  <c r="A1970" i="7"/>
  <c r="A1971" i="7"/>
  <c r="A1972" i="7"/>
  <c r="A1973" i="7"/>
  <c r="A1974" i="7"/>
  <c r="A1975" i="7"/>
  <c r="A1976" i="7"/>
  <c r="A1977" i="7"/>
  <c r="A1978" i="7"/>
  <c r="A1979" i="7"/>
  <c r="A1980" i="7"/>
  <c r="A1981" i="7"/>
  <c r="A1982" i="7"/>
  <c r="A1983" i="7"/>
  <c r="A1984" i="7"/>
  <c r="A1985" i="7"/>
  <c r="A1986" i="7"/>
  <c r="A1987" i="7"/>
  <c r="A1988" i="7"/>
  <c r="A1989" i="7"/>
  <c r="A1990" i="7"/>
  <c r="A1991" i="7"/>
  <c r="A1992" i="7"/>
  <c r="A1993" i="7"/>
  <c r="A1994" i="7"/>
  <c r="A1995" i="7"/>
  <c r="A1996" i="7"/>
  <c r="A1997" i="7"/>
  <c r="A1998" i="7"/>
  <c r="A1999" i="7"/>
  <c r="A2000" i="7"/>
  <c r="A2001" i="7"/>
  <c r="A2002" i="7"/>
  <c r="A2003" i="7"/>
  <c r="A2004" i="7"/>
  <c r="A2005" i="7"/>
  <c r="A2006" i="7"/>
  <c r="A2007" i="7"/>
  <c r="A2008" i="7"/>
  <c r="A2009" i="7"/>
  <c r="A2010" i="7"/>
  <c r="A2011" i="7"/>
  <c r="A2012" i="7"/>
  <c r="A2013" i="7"/>
  <c r="A2014" i="7"/>
  <c r="A2015" i="7"/>
  <c r="A2016" i="7"/>
  <c r="A2017" i="7"/>
  <c r="A2018" i="7"/>
  <c r="A2019" i="7"/>
  <c r="A2020" i="7"/>
  <c r="A2021" i="7"/>
  <c r="A2022" i="7"/>
  <c r="A2023" i="7"/>
  <c r="A2024" i="7"/>
  <c r="A2025" i="7"/>
  <c r="A2026" i="7"/>
  <c r="A2027" i="7"/>
  <c r="A2028" i="7"/>
  <c r="A2029" i="7"/>
  <c r="A2030" i="7"/>
  <c r="A2031" i="7"/>
  <c r="A2032" i="7"/>
  <c r="A2033" i="7"/>
  <c r="A2034" i="7"/>
  <c r="A2035" i="7"/>
  <c r="A2036" i="7"/>
  <c r="A2037" i="7"/>
  <c r="A2038" i="7"/>
  <c r="A2039" i="7"/>
  <c r="A2040" i="7"/>
  <c r="A2041" i="7"/>
  <c r="A2042" i="7"/>
  <c r="A2043" i="7"/>
  <c r="A2044" i="7"/>
  <c r="A2045" i="7"/>
  <c r="A2046" i="7"/>
  <c r="A2047" i="7"/>
  <c r="A2048" i="7"/>
  <c r="A2049" i="7"/>
  <c r="A2050" i="7"/>
  <c r="A2051" i="7"/>
  <c r="A2052" i="7"/>
  <c r="A2053" i="7"/>
  <c r="A2054" i="7"/>
  <c r="A2055" i="7"/>
  <c r="A2056" i="7"/>
  <c r="A2057" i="7"/>
  <c r="A2058" i="7"/>
  <c r="A2059" i="7"/>
  <c r="A2060" i="7"/>
  <c r="A2061" i="7"/>
  <c r="A2062" i="7"/>
  <c r="A2063" i="7"/>
  <c r="A2064" i="7"/>
  <c r="A2065" i="7"/>
  <c r="A2066" i="7"/>
  <c r="A2067" i="7"/>
  <c r="A2068" i="7"/>
  <c r="A2069" i="7"/>
  <c r="A2070" i="7"/>
  <c r="A2071" i="7"/>
  <c r="A2072" i="7"/>
  <c r="A2073" i="7"/>
  <c r="A2074" i="7"/>
  <c r="A2075" i="7"/>
  <c r="A2076" i="7"/>
  <c r="A2077" i="7"/>
  <c r="A2078" i="7"/>
  <c r="A2079" i="7"/>
  <c r="A2080" i="7"/>
  <c r="A2081" i="7"/>
  <c r="A2082" i="7"/>
  <c r="A2083" i="7"/>
  <c r="A2084" i="7"/>
  <c r="A2085" i="7"/>
  <c r="A2086" i="7"/>
  <c r="A2087" i="7"/>
  <c r="A2088" i="7"/>
  <c r="A2089" i="7"/>
  <c r="A2090" i="7"/>
  <c r="A2091" i="7"/>
  <c r="A2092" i="7"/>
  <c r="A2093" i="7"/>
  <c r="A2094" i="7"/>
  <c r="A2095" i="7"/>
  <c r="A2096" i="7"/>
  <c r="A2097" i="7"/>
  <c r="A2098" i="7"/>
  <c r="A2099" i="7"/>
  <c r="A2100" i="7"/>
  <c r="A2101" i="7"/>
  <c r="A2102" i="7"/>
  <c r="A2103" i="7"/>
  <c r="A2104" i="7"/>
  <c r="A2105" i="7"/>
  <c r="A2106" i="7"/>
  <c r="A2107" i="7"/>
  <c r="A2108" i="7"/>
  <c r="A2109" i="7"/>
  <c r="A2110" i="7"/>
  <c r="A2111" i="7"/>
  <c r="A2112" i="7"/>
  <c r="A2113" i="7"/>
  <c r="A2114" i="7"/>
  <c r="A2115" i="7"/>
  <c r="A2116" i="7"/>
  <c r="A2117" i="7"/>
  <c r="A2118" i="7"/>
  <c r="A2119" i="7"/>
  <c r="A2120" i="7"/>
  <c r="A2121" i="7"/>
  <c r="A2122" i="7"/>
  <c r="A2123" i="7"/>
  <c r="A2124" i="7"/>
  <c r="A2125" i="7"/>
  <c r="A2126" i="7"/>
  <c r="A2127" i="7"/>
  <c r="A2128" i="7"/>
  <c r="A2129" i="7"/>
  <c r="A2130" i="7"/>
  <c r="A2131" i="7"/>
  <c r="A2132" i="7"/>
  <c r="A2133" i="7"/>
  <c r="A2134" i="7"/>
  <c r="A2135" i="7"/>
  <c r="A2136" i="7"/>
  <c r="A2137" i="7"/>
  <c r="A2138" i="7"/>
  <c r="A2139" i="7"/>
  <c r="A2140" i="7"/>
  <c r="A2141" i="7"/>
  <c r="A2142" i="7"/>
  <c r="A2143" i="7"/>
  <c r="A2144" i="7"/>
  <c r="A2145" i="7"/>
  <c r="A2146" i="7"/>
  <c r="A2147" i="7"/>
  <c r="A2148" i="7"/>
  <c r="A2" i="7"/>
  <c r="I47" i="4"/>
  <c r="K53" i="4" s="1"/>
  <c r="J20" i="4"/>
  <c r="J21" i="4"/>
  <c r="D20" i="4"/>
  <c r="D21" i="4"/>
  <c r="D26" i="4"/>
  <c r="E20" i="4"/>
  <c r="E21" i="4"/>
  <c r="E26" i="4"/>
  <c r="F27" i="4"/>
  <c r="L27" i="4"/>
  <c r="L20" i="4"/>
  <c r="L21" i="4"/>
  <c r="L22" i="4"/>
  <c r="L23" i="4"/>
  <c r="L25" i="4"/>
  <c r="L26" i="4"/>
  <c r="L3" i="4"/>
  <c r="L4" i="4"/>
  <c r="L5" i="4"/>
  <c r="L6" i="4"/>
  <c r="L7" i="4"/>
  <c r="L8" i="4"/>
  <c r="L9" i="4"/>
  <c r="L10" i="4"/>
  <c r="L11" i="4"/>
  <c r="L12" i="4"/>
  <c r="L13" i="4"/>
  <c r="L14" i="4"/>
  <c r="L15" i="4"/>
  <c r="L16" i="4"/>
  <c r="L17" i="4"/>
  <c r="L18" i="4"/>
  <c r="L19" i="4"/>
  <c r="L2" i="4"/>
  <c r="J8" i="4"/>
  <c r="J9" i="4"/>
  <c r="J10" i="4"/>
  <c r="J11" i="4"/>
  <c r="J12" i="4"/>
  <c r="J13" i="4"/>
  <c r="J14" i="4"/>
  <c r="J15" i="4"/>
  <c r="J16" i="4"/>
  <c r="J17" i="4"/>
  <c r="K54" i="4"/>
  <c r="K52" i="4"/>
  <c r="K51" i="4"/>
  <c r="K50" i="4"/>
  <c r="K49" i="4"/>
  <c r="J19" i="4"/>
  <c r="E19" i="4"/>
  <c r="D19" i="4"/>
  <c r="J18" i="4"/>
  <c r="E18" i="4"/>
  <c r="D18" i="4"/>
  <c r="E17" i="4"/>
  <c r="D17" i="4"/>
  <c r="E16" i="4"/>
  <c r="D16" i="4"/>
  <c r="E15" i="4"/>
  <c r="D15" i="4"/>
  <c r="E14" i="4"/>
  <c r="D14" i="4"/>
  <c r="E13" i="4"/>
  <c r="D13" i="4"/>
  <c r="E12" i="4"/>
  <c r="D12" i="4"/>
  <c r="E11" i="4"/>
  <c r="D11" i="4"/>
  <c r="E10" i="4"/>
  <c r="F10" i="4" s="1"/>
  <c r="E9" i="4"/>
  <c r="F9" i="4" s="1"/>
  <c r="E8" i="4"/>
  <c r="F8" i="4" s="1"/>
  <c r="J7" i="4"/>
  <c r="E7" i="4"/>
  <c r="D7" i="4"/>
  <c r="J6" i="4"/>
  <c r="E6" i="4"/>
  <c r="D6" i="4"/>
  <c r="J5" i="4"/>
  <c r="E5" i="4"/>
  <c r="D5" i="4"/>
  <c r="J4" i="4"/>
  <c r="E4" i="4"/>
  <c r="D4" i="4"/>
  <c r="J3" i="4"/>
  <c r="E3" i="4"/>
  <c r="E40" i="4" s="1"/>
  <c r="D3" i="4"/>
  <c r="G3" i="4" s="1"/>
  <c r="J2" i="4"/>
  <c r="J40" i="4" s="1"/>
  <c r="V16" i="1"/>
  <c r="R15" i="1"/>
  <c r="L28" i="1"/>
  <c r="K28" i="1"/>
  <c r="J28" i="1"/>
  <c r="I28" i="1"/>
  <c r="H28" i="1"/>
  <c r="G28" i="1"/>
  <c r="F28" i="1"/>
  <c r="E28" i="1"/>
  <c r="D28" i="1"/>
  <c r="C28" i="1"/>
  <c r="L19" i="1"/>
  <c r="V147" i="3"/>
  <c r="V141" i="3"/>
  <c r="V106" i="3"/>
  <c r="V104" i="3"/>
  <c r="V98" i="3"/>
  <c r="K14" i="1"/>
  <c r="F175" i="4"/>
  <c r="G39" i="4" l="1"/>
  <c r="I39" i="4" s="1"/>
  <c r="H36" i="4"/>
  <c r="G33" i="4"/>
  <c r="H30" i="4"/>
  <c r="H28" i="4"/>
  <c r="H29" i="4"/>
  <c r="G28" i="4"/>
  <c r="G30" i="4"/>
  <c r="F28" i="4"/>
  <c r="G37" i="4"/>
  <c r="G34" i="4"/>
  <c r="G31" i="4"/>
  <c r="F36" i="4"/>
  <c r="H35" i="4"/>
  <c r="D40" i="4"/>
  <c r="G29" i="4"/>
  <c r="G38" i="4"/>
  <c r="G35" i="4"/>
  <c r="G32" i="4"/>
  <c r="F38" i="4"/>
  <c r="F32" i="4"/>
  <c r="H37" i="4"/>
  <c r="G36" i="4"/>
  <c r="I36" i="4" s="1"/>
  <c r="H31" i="4"/>
  <c r="I31" i="4" s="1"/>
  <c r="I35" i="4"/>
  <c r="H38" i="4"/>
  <c r="I38" i="4" s="1"/>
  <c r="H32" i="4"/>
  <c r="I32" i="4" s="1"/>
  <c r="F30" i="4"/>
  <c r="H39" i="4"/>
  <c r="H33" i="4"/>
  <c r="I29" i="4"/>
  <c r="H34" i="4"/>
  <c r="I34" i="4"/>
  <c r="I28" i="4"/>
  <c r="G174" i="4"/>
  <c r="F177" i="4" s="1"/>
  <c r="F13" i="4"/>
  <c r="F16" i="4"/>
  <c r="N16" i="4"/>
  <c r="F4" i="4"/>
  <c r="F11" i="4"/>
  <c r="H4" i="4"/>
  <c r="F25" i="4"/>
  <c r="F7" i="4"/>
  <c r="F23" i="4"/>
  <c r="H27" i="4"/>
  <c r="F12" i="4"/>
  <c r="F15" i="4"/>
  <c r="F18" i="4"/>
  <c r="F45" i="4"/>
  <c r="G12" i="4"/>
  <c r="H8" i="4"/>
  <c r="H3" i="4"/>
  <c r="F5" i="4"/>
  <c r="F19" i="4"/>
  <c r="G27" i="4"/>
  <c r="G13" i="4"/>
  <c r="F14" i="4"/>
  <c r="F17" i="4"/>
  <c r="F24" i="4"/>
  <c r="R27" i="7"/>
  <c r="R28" i="7"/>
  <c r="F3" i="7"/>
  <c r="F21" i="4"/>
  <c r="F26" i="4"/>
  <c r="H24" i="4"/>
  <c r="F22" i="4"/>
  <c r="F20" i="4"/>
  <c r="J45" i="4" s="1"/>
  <c r="G20" i="4"/>
  <c r="G23" i="4"/>
  <c r="G26" i="4"/>
  <c r="H13" i="4"/>
  <c r="G11" i="4"/>
  <c r="H12" i="4"/>
  <c r="G19" i="4"/>
  <c r="H20" i="4"/>
  <c r="H23" i="4"/>
  <c r="H26" i="4"/>
  <c r="F6" i="4"/>
  <c r="G7" i="4"/>
  <c r="G10" i="4"/>
  <c r="H11" i="4"/>
  <c r="G18" i="4"/>
  <c r="H19" i="4"/>
  <c r="G22" i="4"/>
  <c r="G25" i="4"/>
  <c r="I25" i="4" s="1"/>
  <c r="G8" i="4"/>
  <c r="G6" i="4"/>
  <c r="H7" i="4"/>
  <c r="H10" i="4"/>
  <c r="G15" i="4"/>
  <c r="G16" i="4"/>
  <c r="I16" i="4" s="1"/>
  <c r="G17" i="4"/>
  <c r="H18" i="4"/>
  <c r="H22" i="4"/>
  <c r="H25" i="4"/>
  <c r="G5" i="4"/>
  <c r="H6" i="4"/>
  <c r="G9" i="4"/>
  <c r="G14" i="4"/>
  <c r="H15" i="4"/>
  <c r="H16" i="4"/>
  <c r="H17" i="4"/>
  <c r="G21" i="4"/>
  <c r="G24" i="4"/>
  <c r="F3" i="4"/>
  <c r="G4" i="4"/>
  <c r="G40" i="4" s="1"/>
  <c r="H5" i="4"/>
  <c r="H9" i="4"/>
  <c r="H14" i="4"/>
  <c r="H21" i="4"/>
  <c r="J18" i="1"/>
  <c r="L18" i="1"/>
  <c r="L17" i="1"/>
  <c r="L16" i="1"/>
  <c r="D16" i="1"/>
  <c r="L15" i="1"/>
  <c r="L14" i="1"/>
  <c r="L13" i="1"/>
  <c r="AF25" i="3"/>
  <c r="AF26" i="3"/>
  <c r="AF27" i="3"/>
  <c r="AF28" i="3"/>
  <c r="AF29" i="3"/>
  <c r="AF30" i="3"/>
  <c r="AF31" i="3"/>
  <c r="AF32" i="3"/>
  <c r="AF33" i="3"/>
  <c r="AF24" i="3"/>
  <c r="Z27" i="3"/>
  <c r="Z28" i="3"/>
  <c r="Z29" i="3"/>
  <c r="Z30" i="3"/>
  <c r="Z33" i="3"/>
  <c r="Z24" i="3"/>
  <c r="Y25" i="3"/>
  <c r="Z25" i="3" s="1"/>
  <c r="Y26" i="3"/>
  <c r="Z26" i="3" s="1"/>
  <c r="Y27" i="3"/>
  <c r="Y28" i="3"/>
  <c r="Y29" i="3"/>
  <c r="Y30" i="3"/>
  <c r="Y31" i="3"/>
  <c r="Z31" i="3" s="1"/>
  <c r="Y32" i="3"/>
  <c r="Z32" i="3" s="1"/>
  <c r="Y33" i="3"/>
  <c r="Y24" i="3"/>
  <c r="J37" i="1"/>
  <c r="J38" i="1"/>
  <c r="J39" i="1"/>
  <c r="J40" i="1"/>
  <c r="J41" i="1"/>
  <c r="J42" i="1"/>
  <c r="L12" i="1"/>
  <c r="L11" i="1"/>
  <c r="L10" i="1"/>
  <c r="I37" i="4" l="1"/>
  <c r="H40" i="4"/>
  <c r="I33" i="4"/>
  <c r="I30" i="4"/>
  <c r="F40" i="4"/>
  <c r="I4" i="4"/>
  <c r="I9" i="4"/>
  <c r="I17" i="4"/>
  <c r="I8" i="4"/>
  <c r="I10" i="4"/>
  <c r="I12" i="4"/>
  <c r="I11" i="4"/>
  <c r="I27" i="4"/>
  <c r="I14" i="4"/>
  <c r="I6" i="4"/>
  <c r="I5" i="4"/>
  <c r="J47" i="4" a="1"/>
  <c r="J47" i="4" s="1"/>
  <c r="F46" i="4"/>
  <c r="I3" i="4"/>
  <c r="I13" i="4"/>
  <c r="K5" i="7"/>
  <c r="F2" i="7"/>
  <c r="K3" i="7"/>
  <c r="H9" i="7"/>
  <c r="I9" i="7" s="1"/>
  <c r="K2" i="7"/>
  <c r="H3" i="7"/>
  <c r="I3" i="7" s="1"/>
  <c r="H6" i="7"/>
  <c r="I6" i="7" s="1"/>
  <c r="H12" i="7"/>
  <c r="I12" i="7" s="1"/>
  <c r="H15" i="7"/>
  <c r="I15" i="7" s="1"/>
  <c r="H18" i="7"/>
  <c r="I18" i="7" s="1"/>
  <c r="H21" i="7"/>
  <c r="I21" i="7" s="1"/>
  <c r="H24" i="7"/>
  <c r="I24" i="7" s="1"/>
  <c r="H27" i="7"/>
  <c r="I27" i="7" s="1"/>
  <c r="H30" i="7"/>
  <c r="I30" i="7" s="1"/>
  <c r="H33" i="7"/>
  <c r="I33" i="7" s="1"/>
  <c r="H36" i="7"/>
  <c r="I36" i="7" s="1"/>
  <c r="H39" i="7"/>
  <c r="I39" i="7" s="1"/>
  <c r="H42" i="7"/>
  <c r="I42" i="7" s="1"/>
  <c r="H45" i="7"/>
  <c r="I45" i="7" s="1"/>
  <c r="H4" i="7"/>
  <c r="I4" i="7" s="1"/>
  <c r="H7" i="7"/>
  <c r="I7" i="7" s="1"/>
  <c r="H10" i="7"/>
  <c r="I10" i="7" s="1"/>
  <c r="H13" i="7"/>
  <c r="I13" i="7" s="1"/>
  <c r="H16" i="7"/>
  <c r="I16" i="7" s="1"/>
  <c r="H19" i="7"/>
  <c r="I19" i="7" s="1"/>
  <c r="H22" i="7"/>
  <c r="I22" i="7" s="1"/>
  <c r="H25" i="7"/>
  <c r="I25" i="7" s="1"/>
  <c r="H28" i="7"/>
  <c r="I28" i="7" s="1"/>
  <c r="H31" i="7"/>
  <c r="I31" i="7" s="1"/>
  <c r="H34" i="7"/>
  <c r="I34" i="7" s="1"/>
  <c r="H37" i="7"/>
  <c r="I37" i="7" s="1"/>
  <c r="H40" i="7"/>
  <c r="I40" i="7" s="1"/>
  <c r="H43" i="7"/>
  <c r="I43" i="7" s="1"/>
  <c r="H5" i="7"/>
  <c r="I5" i="7" s="1"/>
  <c r="H8" i="7"/>
  <c r="I8" i="7" s="1"/>
  <c r="H11" i="7"/>
  <c r="I11" i="7" s="1"/>
  <c r="H14" i="7"/>
  <c r="I14" i="7" s="1"/>
  <c r="H17" i="7"/>
  <c r="I17" i="7" s="1"/>
  <c r="H20" i="7"/>
  <c r="I20" i="7" s="1"/>
  <c r="H23" i="7"/>
  <c r="I23" i="7" s="1"/>
  <c r="H26" i="7"/>
  <c r="I26" i="7" s="1"/>
  <c r="H29" i="7"/>
  <c r="I29" i="7" s="1"/>
  <c r="H32" i="7"/>
  <c r="I32" i="7" s="1"/>
  <c r="H35" i="7"/>
  <c r="I35" i="7" s="1"/>
  <c r="H38" i="7"/>
  <c r="I38" i="7" s="1"/>
  <c r="H41" i="7"/>
  <c r="I41" i="7" s="1"/>
  <c r="H44" i="7"/>
  <c r="I44" i="7" s="1"/>
  <c r="H2" i="7"/>
  <c r="I2" i="7" s="1"/>
  <c r="O4" i="7"/>
  <c r="N3" i="7"/>
  <c r="N4" i="7"/>
  <c r="N6" i="7"/>
  <c r="N5" i="7"/>
  <c r="I24" i="4"/>
  <c r="I18" i="4"/>
  <c r="I21" i="4"/>
  <c r="I26" i="4"/>
  <c r="I15" i="4"/>
  <c r="I7" i="4"/>
  <c r="I23" i="4"/>
  <c r="I22" i="4"/>
  <c r="I19" i="4"/>
  <c r="I20" i="4"/>
  <c r="L9" i="1"/>
  <c r="L8" i="1"/>
  <c r="L7" i="1"/>
  <c r="H1" i="3" a="1"/>
  <c r="H1" i="3" s="1"/>
  <c r="M1" i="3" a="1"/>
  <c r="M1" i="3" s="1"/>
  <c r="R5" i="3"/>
  <c r="F2" i="3"/>
  <c r="F5" i="3"/>
  <c r="F3" i="3"/>
  <c r="F4" i="3"/>
  <c r="F6" i="3"/>
  <c r="K2" i="1"/>
  <c r="J2" i="1"/>
  <c r="L3" i="1"/>
  <c r="L4" i="1"/>
  <c r="L5" i="1"/>
  <c r="L6" i="1"/>
  <c r="L2" i="1"/>
  <c r="D4" i="1"/>
  <c r="D5" i="1"/>
  <c r="D6" i="1"/>
  <c r="D7" i="1"/>
  <c r="D8" i="1"/>
  <c r="D9" i="1"/>
  <c r="D10" i="1"/>
  <c r="D11" i="1"/>
  <c r="D12" i="1"/>
  <c r="D13" i="1"/>
  <c r="D14" i="1"/>
  <c r="D15" i="1"/>
  <c r="D17" i="1"/>
  <c r="D18" i="1"/>
  <c r="D19" i="1"/>
  <c r="D20" i="1"/>
  <c r="D21" i="1"/>
  <c r="D22" i="1"/>
  <c r="D23" i="1"/>
  <c r="D24" i="1"/>
  <c r="D25" i="1"/>
  <c r="D26" i="1"/>
  <c r="D3" i="1"/>
  <c r="C4" i="1"/>
  <c r="C5" i="1"/>
  <c r="C6" i="1"/>
  <c r="C7" i="1"/>
  <c r="C11" i="1"/>
  <c r="C12" i="1"/>
  <c r="C13" i="1"/>
  <c r="C14" i="1"/>
  <c r="C15" i="1"/>
  <c r="C16" i="1"/>
  <c r="C17" i="1"/>
  <c r="C18" i="1"/>
  <c r="C19" i="1"/>
  <c r="C20" i="1"/>
  <c r="C21" i="1"/>
  <c r="C22" i="1"/>
  <c r="E22" i="1" s="1"/>
  <c r="I22" i="1" s="1"/>
  <c r="C23" i="1"/>
  <c r="C24" i="1"/>
  <c r="C25" i="1"/>
  <c r="C26" i="1"/>
  <c r="E5" i="1"/>
  <c r="I5" i="1" s="1"/>
  <c r="C3" i="1"/>
  <c r="I40" i="4" l="1"/>
  <c r="I41" i="4"/>
  <c r="K24" i="4"/>
  <c r="J2" i="7"/>
  <c r="J3" i="7"/>
  <c r="J9" i="7"/>
  <c r="J15" i="7"/>
  <c r="J21" i="7"/>
  <c r="J27" i="7"/>
  <c r="J33" i="7"/>
  <c r="J39" i="7"/>
  <c r="J45" i="7"/>
  <c r="J4" i="7"/>
  <c r="J10" i="7"/>
  <c r="J16" i="7"/>
  <c r="J22" i="7"/>
  <c r="J28" i="7"/>
  <c r="J34" i="7"/>
  <c r="J40" i="7"/>
  <c r="J8" i="7"/>
  <c r="J44" i="7"/>
  <c r="J5" i="7"/>
  <c r="J11" i="7"/>
  <c r="J17" i="7"/>
  <c r="J23" i="7"/>
  <c r="J29" i="7"/>
  <c r="J35" i="7"/>
  <c r="J41" i="7"/>
  <c r="J14" i="7"/>
  <c r="J32" i="7"/>
  <c r="J6" i="7"/>
  <c r="J12" i="7"/>
  <c r="J18" i="7"/>
  <c r="J24" i="7"/>
  <c r="J30" i="7"/>
  <c r="J36" i="7"/>
  <c r="J42" i="7"/>
  <c r="J26" i="7"/>
  <c r="J38" i="7"/>
  <c r="J7" i="7"/>
  <c r="J13" i="7"/>
  <c r="J19" i="7"/>
  <c r="J25" i="7"/>
  <c r="J31" i="7"/>
  <c r="J37" i="7"/>
  <c r="J43" i="7"/>
  <c r="J20" i="7"/>
  <c r="E26" i="1"/>
  <c r="I26" i="1" s="1"/>
  <c r="E17" i="1"/>
  <c r="I17" i="1" s="1"/>
  <c r="E20" i="1"/>
  <c r="I20" i="1" s="1"/>
  <c r="E4" i="1"/>
  <c r="I4" i="1" s="1"/>
  <c r="E16" i="1"/>
  <c r="E6" i="1"/>
  <c r="I6" i="1" s="1"/>
  <c r="E14" i="1"/>
  <c r="I14" i="1" s="1"/>
  <c r="E10" i="1"/>
  <c r="I10" i="1" s="1"/>
  <c r="E8" i="1"/>
  <c r="I8" i="1" s="1"/>
  <c r="E23" i="1"/>
  <c r="I23" i="1" s="1"/>
  <c r="E11" i="1"/>
  <c r="I11" i="1" s="1"/>
  <c r="E15" i="1"/>
  <c r="I15" i="1" s="1"/>
  <c r="F4" i="1"/>
  <c r="E21" i="1"/>
  <c r="I21" i="1" s="1"/>
  <c r="E9" i="1"/>
  <c r="I9" i="1" s="1"/>
  <c r="E25" i="1"/>
  <c r="I25" i="1" s="1"/>
  <c r="E19" i="1"/>
  <c r="I19" i="1" s="1"/>
  <c r="E13" i="1"/>
  <c r="I13" i="1" s="1"/>
  <c r="E7" i="1"/>
  <c r="I7" i="1" s="1"/>
  <c r="E24" i="1"/>
  <c r="I24" i="1" s="1"/>
  <c r="E18" i="1"/>
  <c r="I18" i="1" s="1"/>
  <c r="E12" i="1"/>
  <c r="I12" i="1" s="1"/>
  <c r="G7" i="1"/>
  <c r="G18" i="1"/>
  <c r="G6" i="1"/>
  <c r="G23" i="1"/>
  <c r="G17" i="1"/>
  <c r="G11" i="1"/>
  <c r="G5" i="1"/>
  <c r="G22" i="1"/>
  <c r="G16" i="1"/>
  <c r="G10" i="1"/>
  <c r="G24" i="1"/>
  <c r="G9" i="1"/>
  <c r="G26" i="1"/>
  <c r="G20" i="1"/>
  <c r="G14" i="1"/>
  <c r="G8" i="1"/>
  <c r="G3" i="1"/>
  <c r="G12" i="1"/>
  <c r="G4" i="1"/>
  <c r="G21" i="1"/>
  <c r="G15" i="1"/>
  <c r="G25" i="1"/>
  <c r="G19" i="1"/>
  <c r="G13" i="1"/>
  <c r="F3" i="1"/>
  <c r="F21" i="1"/>
  <c r="F15" i="1"/>
  <c r="F9" i="1"/>
  <c r="F26" i="1"/>
  <c r="F20" i="1"/>
  <c r="F14" i="1"/>
  <c r="F8" i="1"/>
  <c r="F25" i="1"/>
  <c r="F19" i="1"/>
  <c r="F13" i="1"/>
  <c r="F7" i="1"/>
  <c r="F24" i="1"/>
  <c r="F18" i="1"/>
  <c r="F12" i="1"/>
  <c r="F6" i="1"/>
  <c r="F23" i="1"/>
  <c r="F17" i="1"/>
  <c r="F11" i="1"/>
  <c r="F5" i="1"/>
  <c r="E3" i="1"/>
  <c r="F22" i="1"/>
  <c r="F16" i="1"/>
  <c r="F10" i="1"/>
  <c r="K29" i="4" l="1"/>
  <c r="K30" i="4"/>
  <c r="K33" i="4"/>
  <c r="K36" i="4"/>
  <c r="K39" i="4"/>
  <c r="K32" i="4"/>
  <c r="K35" i="4"/>
  <c r="K38" i="4"/>
  <c r="K31" i="4"/>
  <c r="K34" i="4"/>
  <c r="K37" i="4"/>
  <c r="K28" i="4"/>
  <c r="K27" i="4"/>
  <c r="K11" i="4"/>
  <c r="K14" i="4"/>
  <c r="K8" i="4"/>
  <c r="K17" i="4"/>
  <c r="K12" i="4"/>
  <c r="K15" i="4"/>
  <c r="K9" i="4"/>
  <c r="K10" i="4"/>
  <c r="K13" i="4"/>
  <c r="K16" i="4"/>
  <c r="K5" i="4"/>
  <c r="K4" i="4"/>
  <c r="K21" i="4"/>
  <c r="K6" i="4"/>
  <c r="K18" i="4"/>
  <c r="K7" i="4"/>
  <c r="K3" i="4"/>
  <c r="K25" i="4"/>
  <c r="K22" i="4"/>
  <c r="K19" i="4"/>
  <c r="K2" i="4"/>
  <c r="K26" i="4"/>
  <c r="K23" i="4"/>
  <c r="K20" i="4"/>
  <c r="I16" i="1"/>
  <c r="H29" i="1"/>
  <c r="I3" i="1"/>
  <c r="H4" i="1"/>
  <c r="H7" i="1"/>
  <c r="J7" i="1" s="1"/>
  <c r="H13" i="1"/>
  <c r="H19" i="1"/>
  <c r="H25" i="1"/>
  <c r="H12" i="1"/>
  <c r="H5" i="1"/>
  <c r="H11" i="1"/>
  <c r="H18" i="1"/>
  <c r="H21" i="1"/>
  <c r="H24" i="1"/>
  <c r="H3" i="1"/>
  <c r="H17" i="1"/>
  <c r="H22" i="1"/>
  <c r="H8" i="1"/>
  <c r="H10" i="1"/>
  <c r="H20" i="1"/>
  <c r="H16" i="1"/>
  <c r="H23" i="1"/>
  <c r="H26" i="1"/>
  <c r="H6" i="1"/>
  <c r="H9" i="1"/>
  <c r="H15" i="1"/>
  <c r="H14" i="1"/>
  <c r="J16" i="1" l="1"/>
  <c r="J5" i="1"/>
  <c r="K5" i="1"/>
  <c r="J4" i="1"/>
  <c r="K4" i="1"/>
  <c r="J3" i="1"/>
  <c r="K3" i="1"/>
  <c r="J6" i="1"/>
  <c r="K6" i="1"/>
  <c r="J26" i="1"/>
  <c r="K26" i="1"/>
  <c r="J22" i="1"/>
  <c r="K22" i="1"/>
  <c r="J11" i="1"/>
  <c r="K11" i="1"/>
  <c r="K7" i="1"/>
  <c r="J23" i="1"/>
  <c r="K23" i="1"/>
  <c r="J17" i="1"/>
  <c r="K17" i="1"/>
  <c r="J14" i="1"/>
  <c r="K16" i="1"/>
  <c r="J12" i="1"/>
  <c r="K12" i="1"/>
  <c r="J15" i="1"/>
  <c r="K15" i="1"/>
  <c r="J20" i="1"/>
  <c r="K20" i="1"/>
  <c r="J24" i="1"/>
  <c r="K24" i="1"/>
  <c r="J25" i="1"/>
  <c r="K25" i="1"/>
  <c r="J9" i="1"/>
  <c r="K9" i="1"/>
  <c r="J10" i="1"/>
  <c r="K10" i="1"/>
  <c r="J21" i="1"/>
  <c r="K21" i="1"/>
  <c r="J19" i="1"/>
  <c r="K19" i="1"/>
  <c r="J8" i="1"/>
  <c r="K8" i="1"/>
  <c r="K18" i="1"/>
  <c r="J13" i="1"/>
  <c r="K13" i="1"/>
  <c r="M16" i="1" l="1"/>
  <c r="M4" i="1"/>
  <c r="M10" i="1"/>
  <c r="M22" i="1"/>
  <c r="M12" i="1"/>
  <c r="M5" i="1"/>
  <c r="M11" i="1"/>
  <c r="M17" i="1"/>
  <c r="M23" i="1"/>
  <c r="M7" i="1"/>
  <c r="M13" i="1"/>
  <c r="M19" i="1"/>
  <c r="M25" i="1"/>
  <c r="M18" i="1"/>
  <c r="M2" i="1"/>
  <c r="M8" i="1"/>
  <c r="M14" i="1"/>
  <c r="M20" i="1"/>
  <c r="M26" i="1"/>
  <c r="M24" i="1"/>
  <c r="M3" i="1"/>
  <c r="M9" i="1"/>
  <c r="M15" i="1"/>
  <c r="M21" i="1"/>
  <c r="M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<sst xmlns="http://schemas.openxmlformats.org/spreadsheetml/2006/main" count="112" uniqueCount="63">
  <si>
    <t>Call Date</t>
  </si>
  <si>
    <t>Queue Date</t>
  </si>
  <si>
    <t>App-Days Advanced</t>
  </si>
  <si>
    <t>Workdays Elapsed</t>
  </si>
  <si>
    <t>Pace (app-days/ workdays)</t>
  </si>
  <si>
    <t>Cumulative Pace</t>
  </si>
  <si>
    <t>Holidays:</t>
  </si>
  <si>
    <t>New Years Day</t>
  </si>
  <si>
    <t>Projected Date for Proccessing Call if You Applied on Call Date</t>
  </si>
  <si>
    <t>Backlog Amount (Days)</t>
  </si>
  <si>
    <t>projected processing</t>
  </si>
  <si>
    <t>Que Month</t>
  </si>
  <si>
    <t>Predicted Processing</t>
  </si>
  <si>
    <t>Que Date</t>
  </si>
  <si>
    <t>Proccessing Date</t>
  </si>
  <si>
    <t>Type</t>
  </si>
  <si>
    <t>Actual</t>
  </si>
  <si>
    <t>Projected</t>
  </si>
  <si>
    <t>Predicted</t>
  </si>
  <si>
    <t>Projected Calendar Days Remaining</t>
  </si>
  <si>
    <t>Projected Workdays Remaining $E Pace</t>
  </si>
  <si>
    <t>Cumulative Work-Days Completed</t>
  </si>
  <si>
    <t>Cumulative App-Days Completed</t>
  </si>
  <si>
    <t>Date Applied:</t>
  </si>
  <si>
    <t>Expected date 1</t>
  </si>
  <si>
    <t>Expected date 2</t>
  </si>
  <si>
    <t>Average</t>
  </si>
  <si>
    <t>High Price</t>
  </si>
  <si>
    <t>Low Price</t>
  </si>
  <si>
    <t>Closing Price</t>
  </si>
  <si>
    <t>Projected Date using Average of Cumulative Pace</t>
  </si>
  <si>
    <t>open date</t>
  </si>
  <si>
    <r>
      <t>18519e</t>
    </r>
    <r>
      <rPr>
        <vertAlign val="superscript"/>
        <sz val="11"/>
        <color theme="1"/>
        <rFont val="Aptos Narrow"/>
        <family val="2"/>
        <scheme val="minor"/>
      </rPr>
      <t>2E-05x</t>
    </r>
  </si>
  <si>
    <t>Averages:</t>
  </si>
  <si>
    <t>Enter Date:</t>
  </si>
  <si>
    <t>X</t>
  </si>
  <si>
    <t>Y</t>
  </si>
  <si>
    <t>Expected Date:</t>
  </si>
  <si>
    <t>+-5 days</t>
  </si>
  <si>
    <t>m from y=mx at 17 data points</t>
  </si>
  <si>
    <t>m from y=mx at 18 data points</t>
  </si>
  <si>
    <t>Date Called</t>
  </si>
  <si>
    <t>App Date Processing</t>
  </si>
  <si>
    <t>Projected Date using Average of Cumulative Pace if you applied today</t>
  </si>
  <si>
    <t>Projected Date using slope equation if you were to apply today</t>
  </si>
  <si>
    <t>BPD LTC Queue Date</t>
  </si>
  <si>
    <t>Average pace derived from averages in F28 &amp; G28: ==&gt;</t>
  </si>
  <si>
    <t>Dates I Called BPD</t>
  </si>
  <si>
    <t>BPD LTC Fingerprint Call Calculator</t>
  </si>
  <si>
    <t>Expected Date you will be called to schedule your fingerprinting appt:</t>
  </si>
  <si>
    <t>Enter Date Your Submitted your LTC Application:</t>
  </si>
  <si>
    <t>**Add ~4-6 weeks to your expected call date to estimate when you'll have your license in hand. If you don't get your license by then, please call them and ask, as they might have sent it to the wrong address, lost it, or had it shipped to themselves instead of to you.**</t>
  </si>
  <si>
    <t>Scroll Down for the graph I made to find the slope equation.</t>
  </si>
  <si>
    <r>
      <rPr>
        <b/>
        <sz val="12"/>
        <color theme="1"/>
        <rFont val="Aptos Narrow"/>
        <family val="2"/>
        <scheme val="minor"/>
      </rPr>
      <t>Instructions on graph:</t>
    </r>
    <r>
      <rPr>
        <sz val="12"/>
        <color theme="1"/>
        <rFont val="Aptos Narrow"/>
        <family val="2"/>
        <scheme val="minor"/>
      </rPr>
      <t xml:space="preserve">
I made this by putting the processing dates in the X column (App Date Processing) and the corresponding dates I called BPD in the Y column (Date called), used Excel's formatting function to turn them from dates into numbers, plotted the points shown, and then enabled the slope equation.
I then looked for the 2 or 3 points farthest from the slope, checked to see what dates they were compared to the date that would've been on the slope, and noticed (so far) they were at most 5 days away from the slope. That's why I currently have the +-5 days estimation. I will use more complex equations and calculations in the future to get better predictions if necessary.</t>
    </r>
  </si>
  <si>
    <t>Sim #</t>
  </si>
  <si>
    <t>Sampled Pace</t>
  </si>
  <si>
    <t>Days to Process</t>
  </si>
  <si>
    <t>Processing Date</t>
  </si>
  <si>
    <t>LTC In-Hand Date</t>
  </si>
  <si>
    <t>.</t>
  </si>
  <si>
    <t>(+-7 days)</t>
  </si>
  <si>
    <t>Forget the graph slope stuff, the current (03/12/2026) calculator is built using the math and equations in the green --&gt;</t>
  </si>
  <si>
    <t>08/2/25-03/18/25 -------&gt;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</si>
</sst>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000%"/>
  </numFmts>
  <fonts count="8" x14ac:knownFonts="1">
    <font>
      <sz val="11"/>
      <color theme="1"/>
      <name val="Aptos Narrow"/>
      <family val="2"/>
      <scheme val="minor"/>
    </font>
    <font>
      <sz val="8"/>
      <name val="Aptos Narrow"/>
      <family val="2"/>
      <scheme val="minor"/>
    </font>
    <font>
      <b/>
      <sz val="11"/>
      <color theme="1"/>
      <name val="Aptos Narrow"/>
      <family val="2"/>
      <scheme val="minor"/>
    </font>
    <font>
      <vertAlign val="superscript"/>
      <sz val="11"/>
      <color theme="1"/>
      <name val="Aptos Narrow"/>
      <family val="2"/>
      <scheme val="minor"/>
    </font>
    <font>
      <sz val="12"/>
      <color theme="1"/>
      <name val="Aptos Narrow"/>
      <family val="2"/>
      <scheme val="minor"/>
    </font>
    <font>
      <sz val="14"/>
      <color theme="1"/>
      <name val="Aptos Narrow"/>
      <family val="2"/>
      <scheme val="minor"/>
    </font>
    <font>
      <b/>
      <sz val="12"/>
      <color theme="0"/>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92D050"/>
        <bgColor indexed="64"/>
      </patternFill>
    </fill>
  </fills>
  <borders count="19">
    <border>
      <left/>
      <right/>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slantDashDot">
        <color indexed="64"/>
      </left>
      <right/>
      <top style="slantDashDot">
        <color indexed="64"/>
      </top>
      <bottom style="slantDashDot">
        <color indexed="64"/>
      </bottom>
      <diagonal/>
    </border>
    <border>
      <left/>
      <right/>
      <top style="slantDashDot">
        <color indexed="64"/>
      </top>
      <bottom style="slantDashDot">
        <color indexed="64"/>
      </bottom>
      <diagonal/>
    </border>
    <border>
      <left/>
      <right style="slantDashDot">
        <color indexed="64"/>
      </right>
      <top style="slantDashDot">
        <color indexed="64"/>
      </top>
      <bottom style="slantDashDot">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slantDashDot">
        <color indexed="64"/>
      </right>
      <top style="slantDashDot">
        <color indexed="64"/>
      </top>
      <bottom/>
      <diagonal/>
    </border>
    <border>
      <left/>
      <right/>
      <top/>
      <bottom style="thin">
        <color indexed="64"/>
      </bottom>
      <diagonal/>
    </border>
    <border>
      <left/>
      <right/>
      <top style="slantDashDot">
        <color indexed="64"/>
      </top>
      <bottom/>
      <diagonal/>
    </border>
    <border>
      <left/>
      <right style="thin">
        <color indexed="64"/>
      </right>
      <top style="slantDashDot">
        <color indexed="64"/>
      </top>
      <bottom/>
      <diagonal/>
    </border>
  </borders>
  <cellStyleXfs count="1">
    <xf numFmtId="0" fontId="0" fillId="0" borderId="0"/>
  </cellStyleXfs>
  <cellXfs count="66">
    <xf numFmtId="0" fontId="0" fillId="0" borderId="0" xfId="0"/>
    <xf numFmtId="14" fontId="0" fillId="0" borderId="0" xfId="0" applyNumberFormat="1"/>
    <xf numFmtId="0" fontId="0" fillId="0" borderId="0" xfId="0" applyAlignment="1">
      <alignment wrapText="1"/>
    </xf>
    <xf numFmtId="164" fontId="0" fillId="0" borderId="0" xfId="0" applyNumberFormat="1"/>
    <xf numFmtId="2" fontId="0" fillId="0" borderId="0" xfId="0" applyNumberFormat="1"/>
    <xf numFmtId="17" fontId="0" fillId="0" borderId="0" xfId="0" applyNumberFormat="1"/>
    <xf numFmtId="0" fontId="2" fillId="0" borderId="0" xfId="0" applyFont="1"/>
    <xf numFmtId="0" fontId="0" fillId="2" borderId="0" xfId="0" applyFill="1"/>
    <xf numFmtId="164" fontId="0" fillId="2" borderId="0" xfId="0" applyNumberFormat="1" applyFill="1"/>
    <xf numFmtId="2" fontId="0" fillId="2" borderId="0" xfId="0" applyNumberFormat="1" applyFill="1"/>
    <xf numFmtId="0" fontId="0" fillId="2" borderId="0" xfId="0" applyFill="1" applyAlignment="1">
      <alignment wrapText="1"/>
    </xf>
    <xf numFmtId="14" fontId="0" fillId="2" borderId="0" xfId="0" applyNumberFormat="1" applyFill="1"/>
    <xf numFmtId="0" fontId="0" fillId="2" borderId="1" xfId="0" applyFill="1" applyBorder="1"/>
    <xf numFmtId="0" fontId="0" fillId="2" borderId="2" xfId="0" applyFill="1" applyBorder="1" applyAlignment="1">
      <alignment wrapText="1"/>
    </xf>
    <xf numFmtId="0" fontId="0" fillId="2" borderId="2" xfId="0" applyFill="1" applyBorder="1"/>
    <xf numFmtId="0" fontId="0" fillId="2" borderId="3" xfId="0" applyFill="1" applyBorder="1"/>
    <xf numFmtId="0" fontId="0" fillId="3" borderId="4" xfId="0" applyFill="1" applyBorder="1"/>
    <xf numFmtId="0" fontId="0" fillId="3" borderId="0" xfId="0" applyFill="1"/>
    <xf numFmtId="0" fontId="0" fillId="3" borderId="5" xfId="0" applyFill="1" applyBorder="1"/>
    <xf numFmtId="14" fontId="0" fillId="3" borderId="0" xfId="0" applyNumberFormat="1" applyFill="1"/>
    <xf numFmtId="14" fontId="0" fillId="3" borderId="4" xfId="0" applyNumberFormat="1" applyFill="1" applyBorder="1"/>
    <xf numFmtId="0" fontId="0" fillId="3" borderId="6" xfId="0" applyFill="1" applyBorder="1"/>
    <xf numFmtId="0" fontId="0" fillId="3" borderId="7" xfId="0" applyFill="1" applyBorder="1"/>
    <xf numFmtId="0" fontId="0" fillId="3" borderId="8" xfId="0" applyFill="1" applyBorder="1"/>
    <xf numFmtId="0" fontId="0" fillId="3" borderId="10" xfId="0" applyFill="1" applyBorder="1"/>
    <xf numFmtId="0" fontId="0" fillId="3" borderId="11" xfId="0" applyFill="1" applyBorder="1"/>
    <xf numFmtId="14" fontId="0" fillId="3" borderId="9" xfId="0" applyNumberFormat="1" applyFill="1" applyBorder="1"/>
    <xf numFmtId="14" fontId="2" fillId="3" borderId="0" xfId="0" applyNumberFormat="1" applyFont="1" applyFill="1"/>
    <xf numFmtId="0" fontId="2" fillId="3" borderId="0" xfId="0" applyFont="1" applyFill="1" applyAlignment="1">
      <alignment horizontal="center" vertical="center"/>
    </xf>
    <xf numFmtId="14" fontId="2" fillId="4" borderId="0" xfId="0" applyNumberFormat="1" applyFont="1" applyFill="1" applyAlignment="1">
      <alignment horizontal="center" vertical="center"/>
    </xf>
    <xf numFmtId="0" fontId="0" fillId="3" borderId="0" xfId="0" quotePrefix="1" applyFill="1" applyAlignment="1">
      <alignment horizontal="center" vertical="center"/>
    </xf>
    <xf numFmtId="0" fontId="2" fillId="0" borderId="0" xfId="0" applyFont="1" applyAlignment="1">
      <alignment wrapText="1"/>
    </xf>
    <xf numFmtId="2" fontId="2" fillId="0" borderId="0" xfId="0" applyNumberFormat="1" applyFont="1" applyAlignment="1">
      <alignment wrapText="1"/>
    </xf>
    <xf numFmtId="0" fontId="0" fillId="2" borderId="13" xfId="0" applyFill="1" applyBorder="1" applyAlignment="1">
      <alignment vertical="center"/>
    </xf>
    <xf numFmtId="0" fontId="2" fillId="0" borderId="0" xfId="0" applyFont="1" applyAlignment="1">
      <alignment horizontal="center" wrapText="1"/>
    </xf>
    <xf numFmtId="2" fontId="2" fillId="0" borderId="0" xfId="0" applyNumberFormat="1" applyFont="1" applyAlignment="1">
      <alignment horizontal="center" wrapText="1"/>
    </xf>
    <xf numFmtId="164" fontId="0" fillId="0" borderId="5" xfId="0" applyNumberFormat="1" applyBorder="1"/>
    <xf numFmtId="0" fontId="0" fillId="2" borderId="14" xfId="0" applyFill="1" applyBorder="1"/>
    <xf numFmtId="0" fontId="0" fillId="3" borderId="15" xfId="0" applyFill="1" applyBorder="1"/>
    <xf numFmtId="14" fontId="0" fillId="3" borderId="5" xfId="0" applyNumberFormat="1" applyFill="1" applyBorder="1"/>
    <xf numFmtId="0" fontId="2" fillId="3" borderId="5" xfId="0" applyFont="1" applyFill="1" applyBorder="1" applyAlignment="1">
      <alignment horizontal="center" vertical="center"/>
    </xf>
    <xf numFmtId="14" fontId="2" fillId="3" borderId="0" xfId="0" applyNumberFormat="1" applyFont="1" applyFill="1" applyAlignment="1">
      <alignment horizontal="center"/>
    </xf>
    <xf numFmtId="0" fontId="0" fillId="0" borderId="0" xfId="0" applyAlignment="1">
      <alignment vertical="center" wrapText="1"/>
    </xf>
    <xf numFmtId="14" fontId="0" fillId="0" borderId="0" xfId="0" applyNumberFormat="1" applyAlignment="1">
      <alignment vertical="center" wrapText="1"/>
    </xf>
    <xf numFmtId="165" fontId="0" fillId="0" borderId="0" xfId="0" applyNumberFormat="1"/>
    <xf numFmtId="0" fontId="0" fillId="5" borderId="0" xfId="0" applyFill="1"/>
    <xf numFmtId="14" fontId="0" fillId="5" borderId="0" xfId="0" applyNumberFormat="1" applyFill="1"/>
    <xf numFmtId="0" fontId="5" fillId="2" borderId="16" xfId="0" applyFont="1" applyFill="1" applyBorder="1" applyAlignment="1">
      <alignment horizontal="center" vertical="center" wrapText="1"/>
    </xf>
    <xf numFmtId="0" fontId="6" fillId="3" borderId="9"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2" fillId="3" borderId="4"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5" xfId="0" applyFont="1" applyFill="1" applyBorder="1" applyAlignment="1">
      <alignment horizontal="center" vertical="center" wrapText="1"/>
    </xf>
    <xf numFmtId="0" fontId="0" fillId="0" borderId="0" xfId="0" applyAlignment="1">
      <alignment horizontal="center" wrapText="1"/>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4"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2" borderId="0" xfId="0" applyFont="1" applyFill="1" applyAlignment="1">
      <alignment horizontal="center" wrapText="1"/>
    </xf>
    <xf numFmtId="0" fontId="4" fillId="4" borderId="0" xfId="0" applyFont="1" applyFill="1" applyAlignment="1">
      <alignment horizontal="center" vertical="center" wrapText="1"/>
    </xf>
    <xf numFmtId="0" fontId="0" fillId="2" borderId="12" xfId="0" applyFill="1" applyBorder="1" applyAlignment="1">
      <alignment horizontal="center" wrapText="1"/>
    </xf>
    <xf numFmtId="0" fontId="0" fillId="2" borderId="1" xfId="0" applyFill="1" applyBorder="1" applyAlignment="1">
      <alignment horizontal="center" wrapText="1"/>
    </xf>
    <xf numFmtId="14" fontId="2" fillId="4"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I Called</a:t>
            </a:r>
            <a:r>
              <a:rPr lang="en-US" baseline="0"/>
              <a:t> BPD to Check Their Current LTC Progress vs Date of LTC/FID Applications BPD was Processing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 (2)'!$D$67</c:f>
              <c:strCache>
                <c:ptCount val="1"/>
                <c:pt idx="0">
                  <c:v>Date Called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forward val="180"/>
            <c:dispRSqr val="1"/>
            <c:dispEq val="1"/>
            <c:trendlineLbl>
              <c:layout>
                <c:manualLayout>
                  <c:x val="-0.34026162947420036"/>
                  <c:y val="7.8308961261755919E-2"/>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'Sheet1 (2)'!$C$68:$C$92</c:f>
              <c:numCache>
                <c:formatCode>0.00</c:formatCode>
                <c:ptCount val="25"/>
                <c:pt idx="0">
                  <c:v>45676</c:v>
                </c:pt>
                <c:pt idx="1">
                  <c:v>45690</c:v>
                </c:pt>
                <c:pt idx="2">
                  <c:v>45698</c:v>
                </c:pt>
                <c:pt idx="3">
                  <c:v>45707</c:v>
                </c:pt>
                <c:pt idx="4">
                  <c:v>45709</c:v>
                </c:pt>
                <c:pt idx="5">
                  <c:v>45712</c:v>
                </c:pt>
                <c:pt idx="6">
                  <c:v>45712</c:v>
                </c:pt>
                <c:pt idx="7">
                  <c:v>45712</c:v>
                </c:pt>
                <c:pt idx="8">
                  <c:v>45712</c:v>
                </c:pt>
                <c:pt idx="9">
                  <c:v>45716</c:v>
                </c:pt>
                <c:pt idx="10">
                  <c:v>45718</c:v>
                </c:pt>
                <c:pt idx="11">
                  <c:v>45725</c:v>
                </c:pt>
                <c:pt idx="12">
                  <c:v>45739</c:v>
                </c:pt>
                <c:pt idx="13">
                  <c:v>45746</c:v>
                </c:pt>
                <c:pt idx="14">
                  <c:v>45752</c:v>
                </c:pt>
                <c:pt idx="15">
                  <c:v>45753</c:v>
                </c:pt>
                <c:pt idx="16">
                  <c:v>45755</c:v>
                </c:pt>
                <c:pt idx="17">
                  <c:v>45764</c:v>
                </c:pt>
                <c:pt idx="18">
                  <c:v>45822</c:v>
                </c:pt>
                <c:pt idx="19">
                  <c:v>45831</c:v>
                </c:pt>
                <c:pt idx="20">
                  <c:v>45834</c:v>
                </c:pt>
                <c:pt idx="21">
                  <c:v>45846</c:v>
                </c:pt>
                <c:pt idx="22">
                  <c:v>45862</c:v>
                </c:pt>
                <c:pt idx="23">
                  <c:v>45864</c:v>
                </c:pt>
                <c:pt idx="24">
                  <c:v>45871</c:v>
                </c:pt>
              </c:numCache>
            </c:numRef>
          </c:xVal>
          <c:yVal>
            <c:numRef>
              <c:f>'Sheet1 (2)'!$D$68:$D$92</c:f>
              <c:numCache>
                <c:formatCode>0.00</c:formatCode>
                <c:ptCount val="25"/>
                <c:pt idx="0">
                  <c:v>45889</c:v>
                </c:pt>
                <c:pt idx="1">
                  <c:v>45908</c:v>
                </c:pt>
                <c:pt idx="2">
                  <c:v>45915</c:v>
                </c:pt>
                <c:pt idx="3">
                  <c:v>45919</c:v>
                </c:pt>
                <c:pt idx="4">
                  <c:v>45923</c:v>
                </c:pt>
                <c:pt idx="5">
                  <c:v>45924</c:v>
                </c:pt>
                <c:pt idx="6">
                  <c:v>45926</c:v>
                </c:pt>
                <c:pt idx="7">
                  <c:v>45929</c:v>
                </c:pt>
                <c:pt idx="8">
                  <c:v>45930</c:v>
                </c:pt>
                <c:pt idx="9">
                  <c:v>45931</c:v>
                </c:pt>
                <c:pt idx="10">
                  <c:v>45937</c:v>
                </c:pt>
                <c:pt idx="11">
                  <c:v>45945</c:v>
                </c:pt>
                <c:pt idx="12">
                  <c:v>45958</c:v>
                </c:pt>
                <c:pt idx="13">
                  <c:v>45968</c:v>
                </c:pt>
                <c:pt idx="14">
                  <c:v>45971</c:v>
                </c:pt>
                <c:pt idx="15">
                  <c:v>45973</c:v>
                </c:pt>
                <c:pt idx="16">
                  <c:v>45975</c:v>
                </c:pt>
                <c:pt idx="17">
                  <c:v>45985</c:v>
                </c:pt>
                <c:pt idx="18">
                  <c:v>46056</c:v>
                </c:pt>
                <c:pt idx="19">
                  <c:v>46058</c:v>
                </c:pt>
                <c:pt idx="20">
                  <c:v>46066</c:v>
                </c:pt>
                <c:pt idx="21">
                  <c:v>46080</c:v>
                </c:pt>
                <c:pt idx="22">
                  <c:v>46091</c:v>
                </c:pt>
                <c:pt idx="23">
                  <c:v>46093</c:v>
                </c:pt>
                <c:pt idx="24">
                  <c:v>46099</c:v>
                </c:pt>
              </c:numCache>
            </c:numRef>
          </c:yVal>
          <c:smooth val="0"/>
          <c:extLst>
            <c:ext xmlns:c16="http://schemas.microsoft.com/office/drawing/2014/chart" uri="{C3380CC4-5D6E-409C-BE32-E72D297353CC}">
              <c16:uniqueId val="{00000001-82AC-4275-B89B-4247695BB334}"/>
            </c:ext>
          </c:extLst>
        </c:ser>
        <c:dLbls>
          <c:showLegendKey val="0"/>
          <c:showVal val="0"/>
          <c:showCatName val="0"/>
          <c:showSerName val="0"/>
          <c:showPercent val="0"/>
          <c:showBubbleSize val="0"/>
        </c:dLbls>
        <c:axId val="542299848"/>
        <c:axId val="542300208"/>
      </c:scatterChart>
      <c:valAx>
        <c:axId val="542299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 of</a:t>
                </a:r>
                <a:r>
                  <a:rPr lang="en-US" baseline="0"/>
                  <a:t> LTC Apps being Processed (Turned into Excel's number format)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00208"/>
        <c:crosses val="autoZero"/>
        <c:crossBetween val="midCat"/>
      </c:valAx>
      <c:valAx>
        <c:axId val="54230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 I called BPD</a:t>
                </a:r>
                <a:r>
                  <a:rPr lang="en-US" baseline="0"/>
                  <a:t> to check on their current LTC App Progress (Turned into Excel's Number forrmatting).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998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forward val="200"/>
            <c:dispRSqr val="1"/>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'Sheet1 (2)'!$C$112:$C$134</c:f>
              <c:numCache>
                <c:formatCode>0.00</c:formatCode>
                <c:ptCount val="23"/>
                <c:pt idx="0">
                  <c:v>45676</c:v>
                </c:pt>
                <c:pt idx="1">
                  <c:v>45690</c:v>
                </c:pt>
                <c:pt idx="2">
                  <c:v>45698</c:v>
                </c:pt>
                <c:pt idx="3">
                  <c:v>45707</c:v>
                </c:pt>
                <c:pt idx="4">
                  <c:v>45709</c:v>
                </c:pt>
                <c:pt idx="5">
                  <c:v>45712</c:v>
                </c:pt>
                <c:pt idx="6">
                  <c:v>45712</c:v>
                </c:pt>
                <c:pt idx="7">
                  <c:v>45712</c:v>
                </c:pt>
                <c:pt idx="8">
                  <c:v>45712</c:v>
                </c:pt>
                <c:pt idx="9">
                  <c:v>45716</c:v>
                </c:pt>
                <c:pt idx="10">
                  <c:v>45718</c:v>
                </c:pt>
                <c:pt idx="11">
                  <c:v>45725</c:v>
                </c:pt>
                <c:pt idx="12">
                  <c:v>45739</c:v>
                </c:pt>
                <c:pt idx="13">
                  <c:v>45746</c:v>
                </c:pt>
                <c:pt idx="14">
                  <c:v>45752</c:v>
                </c:pt>
                <c:pt idx="15">
                  <c:v>45753</c:v>
                </c:pt>
                <c:pt idx="16">
                  <c:v>45755</c:v>
                </c:pt>
                <c:pt idx="17">
                  <c:v>45764</c:v>
                </c:pt>
                <c:pt idx="18">
                  <c:v>45822</c:v>
                </c:pt>
                <c:pt idx="19">
                  <c:v>45831</c:v>
                </c:pt>
                <c:pt idx="20">
                  <c:v>45834</c:v>
                </c:pt>
                <c:pt idx="21">
                  <c:v>45846</c:v>
                </c:pt>
                <c:pt idx="22">
                  <c:v>45864</c:v>
                </c:pt>
              </c:numCache>
            </c:numRef>
          </c:xVal>
          <c:yVal>
            <c:numRef>
              <c:f>'Sheet1 (2)'!$D$112:$D$134</c:f>
              <c:numCache>
                <c:formatCode>0.00</c:formatCode>
                <c:ptCount val="23"/>
                <c:pt idx="0">
                  <c:v>45889</c:v>
                </c:pt>
                <c:pt idx="1">
                  <c:v>45908</c:v>
                </c:pt>
                <c:pt idx="2">
                  <c:v>45915</c:v>
                </c:pt>
                <c:pt idx="3">
                  <c:v>45919</c:v>
                </c:pt>
                <c:pt idx="4">
                  <c:v>45923</c:v>
                </c:pt>
                <c:pt idx="5">
                  <c:v>45924</c:v>
                </c:pt>
                <c:pt idx="6">
                  <c:v>45926</c:v>
                </c:pt>
                <c:pt idx="7">
                  <c:v>45929</c:v>
                </c:pt>
                <c:pt idx="8">
                  <c:v>45930</c:v>
                </c:pt>
                <c:pt idx="9">
                  <c:v>45931</c:v>
                </c:pt>
                <c:pt idx="10">
                  <c:v>45937</c:v>
                </c:pt>
                <c:pt idx="11">
                  <c:v>45945</c:v>
                </c:pt>
                <c:pt idx="12">
                  <c:v>45958</c:v>
                </c:pt>
                <c:pt idx="13">
                  <c:v>45968</c:v>
                </c:pt>
                <c:pt idx="14">
                  <c:v>45971</c:v>
                </c:pt>
                <c:pt idx="15">
                  <c:v>45973</c:v>
                </c:pt>
                <c:pt idx="16">
                  <c:v>45975</c:v>
                </c:pt>
                <c:pt idx="17">
                  <c:v>45985</c:v>
                </c:pt>
                <c:pt idx="18">
                  <c:v>46056</c:v>
                </c:pt>
                <c:pt idx="19">
                  <c:v>46058</c:v>
                </c:pt>
                <c:pt idx="20">
                  <c:v>46066</c:v>
                </c:pt>
                <c:pt idx="21">
                  <c:v>46080</c:v>
                </c:pt>
                <c:pt idx="22">
                  <c:v>46093</c:v>
                </c:pt>
              </c:numCache>
            </c:numRef>
          </c:yVal>
          <c:smooth val="0"/>
          <c:extLst>
            <c:ext xmlns:c16="http://schemas.microsoft.com/office/drawing/2014/chart" uri="{C3380CC4-5D6E-409C-BE32-E72D297353CC}">
              <c16:uniqueId val="{00000000-5D64-40ED-B823-EF110C7544D8}"/>
            </c:ext>
          </c:extLst>
        </c:ser>
        <c:dLbls>
          <c:showLegendKey val="0"/>
          <c:showVal val="0"/>
          <c:showCatName val="0"/>
          <c:showSerName val="0"/>
          <c:showPercent val="0"/>
          <c:showBubbleSize val="0"/>
        </c:dLbls>
        <c:axId val="831109448"/>
        <c:axId val="821992696"/>
      </c:scatterChart>
      <c:valAx>
        <c:axId val="831109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92696"/>
        <c:crosses val="autoZero"/>
        <c:crossBetween val="midCat"/>
      </c:valAx>
      <c:valAx>
        <c:axId val="821992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09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Simulation!$R$2:$R$14</c:f>
              <c:numCache>
                <c:formatCode>m/d/yyyy</c:formatCode>
                <c:ptCount val="13"/>
                <c:pt idx="0">
                  <c:v>46237</c:v>
                </c:pt>
                <c:pt idx="1">
                  <c:v>46240</c:v>
                </c:pt>
                <c:pt idx="2">
                  <c:v>46246</c:v>
                </c:pt>
                <c:pt idx="3">
                  <c:v>46248</c:v>
                </c:pt>
                <c:pt idx="4">
                  <c:v>46252</c:v>
                </c:pt>
                <c:pt idx="5">
                  <c:v>46255</c:v>
                </c:pt>
                <c:pt idx="6">
                  <c:v>46258</c:v>
                </c:pt>
                <c:pt idx="7">
                  <c:v>46259</c:v>
                </c:pt>
                <c:pt idx="8">
                  <c:v>46266</c:v>
                </c:pt>
                <c:pt idx="9">
                  <c:v>46268</c:v>
                </c:pt>
                <c:pt idx="10">
                  <c:v>46269</c:v>
                </c:pt>
                <c:pt idx="11">
                  <c:v>46273</c:v>
                </c:pt>
                <c:pt idx="12">
                  <c:v>46297</c:v>
                </c:pt>
              </c:numCache>
            </c:numRef>
          </c:cat>
          <c:val>
            <c:numRef>
              <c:f>Simulation!$T$2:$T$14</c:f>
              <c:numCache>
                <c:formatCode>0.0000%</c:formatCode>
                <c:ptCount val="13"/>
                <c:pt idx="0">
                  <c:v>5.8713886300093193E-2</c:v>
                </c:pt>
                <c:pt idx="1">
                  <c:v>5.4520037278657965E-2</c:v>
                </c:pt>
                <c:pt idx="2">
                  <c:v>5.591798695246971E-2</c:v>
                </c:pt>
                <c:pt idx="3">
                  <c:v>5.684995340167754E-2</c:v>
                </c:pt>
                <c:pt idx="4">
                  <c:v>5.591798695246971E-2</c:v>
                </c:pt>
                <c:pt idx="5">
                  <c:v>0.10298229263746506</c:v>
                </c:pt>
                <c:pt idx="6">
                  <c:v>0.10997204100652376</c:v>
                </c:pt>
                <c:pt idx="7">
                  <c:v>0.17381174277726003</c:v>
                </c:pt>
                <c:pt idx="8">
                  <c:v>0.10950605778191985</c:v>
                </c:pt>
                <c:pt idx="9">
                  <c:v>5.498602050326188E-2</c:v>
                </c:pt>
                <c:pt idx="10">
                  <c:v>4.9394221808014914E-2</c:v>
                </c:pt>
                <c:pt idx="11">
                  <c:v>5.9645852749301023E-2</c:v>
                </c:pt>
                <c:pt idx="12">
                  <c:v>5.778191985088537E-2</c:v>
                </c:pt>
              </c:numCache>
            </c:numRef>
          </c:val>
          <c:smooth val="0"/>
          <c:extLst>
            <c:ext xmlns:c16="http://schemas.microsoft.com/office/drawing/2014/chart" uri="{C3380CC4-5D6E-409C-BE32-E72D297353CC}">
              <c16:uniqueId val="{00000000-E2D0-49A0-90A3-8F8C4575FDEC}"/>
            </c:ext>
          </c:extLst>
        </c:ser>
        <c:dLbls>
          <c:showLegendKey val="0"/>
          <c:showVal val="0"/>
          <c:showCatName val="0"/>
          <c:showSerName val="0"/>
          <c:showPercent val="0"/>
          <c:showBubbleSize val="0"/>
        </c:dLbls>
        <c:marker val="1"/>
        <c:smooth val="0"/>
        <c:axId val="1176661608"/>
        <c:axId val="1176659808"/>
      </c:lineChart>
      <c:dateAx>
        <c:axId val="11766616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59808"/>
        <c:crosses val="autoZero"/>
        <c:auto val="1"/>
        <c:lblOffset val="100"/>
        <c:baseTimeUnit val="days"/>
      </c:dateAx>
      <c:valAx>
        <c:axId val="1176659808"/>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Sheet3!$F$9</c:f>
              <c:strCache>
                <c:ptCount val="1"/>
                <c:pt idx="0">
                  <c:v>Predicted Processing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5"/>
            <c:dispRSqr val="0"/>
            <c:dispEq val="0"/>
          </c:trendline>
          <c:xVal>
            <c:numRef>
              <c:f>Sheet3!$E$10:$E$792</c:f>
              <c:numCache>
                <c:formatCode>m/d/yyyy</c:formatCode>
                <c:ptCount val="783"/>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pt idx="120">
                  <c:v>45778</c:v>
                </c:pt>
                <c:pt idx="121">
                  <c:v>45779</c:v>
                </c:pt>
                <c:pt idx="122">
                  <c:v>45780</c:v>
                </c:pt>
                <c:pt idx="123">
                  <c:v>45781</c:v>
                </c:pt>
                <c:pt idx="124">
                  <c:v>45782</c:v>
                </c:pt>
                <c:pt idx="125">
                  <c:v>45783</c:v>
                </c:pt>
                <c:pt idx="126">
                  <c:v>45784</c:v>
                </c:pt>
                <c:pt idx="127">
                  <c:v>45785</c:v>
                </c:pt>
                <c:pt idx="128">
                  <c:v>45786</c:v>
                </c:pt>
                <c:pt idx="129">
                  <c:v>45787</c:v>
                </c:pt>
                <c:pt idx="130">
                  <c:v>45788</c:v>
                </c:pt>
                <c:pt idx="131">
                  <c:v>45789</c:v>
                </c:pt>
                <c:pt idx="132">
                  <c:v>45790</c:v>
                </c:pt>
                <c:pt idx="133">
                  <c:v>45791</c:v>
                </c:pt>
                <c:pt idx="134">
                  <c:v>45792</c:v>
                </c:pt>
                <c:pt idx="135">
                  <c:v>45793</c:v>
                </c:pt>
                <c:pt idx="136">
                  <c:v>45794</c:v>
                </c:pt>
                <c:pt idx="137">
                  <c:v>45795</c:v>
                </c:pt>
                <c:pt idx="138">
                  <c:v>45796</c:v>
                </c:pt>
                <c:pt idx="139">
                  <c:v>45797</c:v>
                </c:pt>
                <c:pt idx="140">
                  <c:v>45798</c:v>
                </c:pt>
                <c:pt idx="141">
                  <c:v>45799</c:v>
                </c:pt>
                <c:pt idx="142">
                  <c:v>45800</c:v>
                </c:pt>
                <c:pt idx="143">
                  <c:v>45801</c:v>
                </c:pt>
                <c:pt idx="144">
                  <c:v>45802</c:v>
                </c:pt>
                <c:pt idx="145">
                  <c:v>45803</c:v>
                </c:pt>
                <c:pt idx="146">
                  <c:v>45804</c:v>
                </c:pt>
                <c:pt idx="147">
                  <c:v>45805</c:v>
                </c:pt>
                <c:pt idx="148">
                  <c:v>45806</c:v>
                </c:pt>
                <c:pt idx="149">
                  <c:v>45807</c:v>
                </c:pt>
                <c:pt idx="150">
                  <c:v>45808</c:v>
                </c:pt>
                <c:pt idx="151">
                  <c:v>45809</c:v>
                </c:pt>
                <c:pt idx="152">
                  <c:v>45810</c:v>
                </c:pt>
                <c:pt idx="153">
                  <c:v>45811</c:v>
                </c:pt>
                <c:pt idx="154">
                  <c:v>45812</c:v>
                </c:pt>
                <c:pt idx="155">
                  <c:v>45813</c:v>
                </c:pt>
                <c:pt idx="156">
                  <c:v>45814</c:v>
                </c:pt>
                <c:pt idx="157">
                  <c:v>45815</c:v>
                </c:pt>
                <c:pt idx="158">
                  <c:v>45816</c:v>
                </c:pt>
                <c:pt idx="159">
                  <c:v>45817</c:v>
                </c:pt>
                <c:pt idx="160">
                  <c:v>45818</c:v>
                </c:pt>
                <c:pt idx="161">
                  <c:v>45819</c:v>
                </c:pt>
                <c:pt idx="162">
                  <c:v>45820</c:v>
                </c:pt>
                <c:pt idx="163">
                  <c:v>45821</c:v>
                </c:pt>
                <c:pt idx="164">
                  <c:v>45822</c:v>
                </c:pt>
                <c:pt idx="165">
                  <c:v>45823</c:v>
                </c:pt>
                <c:pt idx="166">
                  <c:v>45824</c:v>
                </c:pt>
                <c:pt idx="167">
                  <c:v>45825</c:v>
                </c:pt>
                <c:pt idx="168">
                  <c:v>45826</c:v>
                </c:pt>
                <c:pt idx="169">
                  <c:v>45827</c:v>
                </c:pt>
                <c:pt idx="170">
                  <c:v>45828</c:v>
                </c:pt>
                <c:pt idx="171">
                  <c:v>45829</c:v>
                </c:pt>
                <c:pt idx="172">
                  <c:v>45830</c:v>
                </c:pt>
                <c:pt idx="173">
                  <c:v>45831</c:v>
                </c:pt>
                <c:pt idx="174">
                  <c:v>45832</c:v>
                </c:pt>
                <c:pt idx="175">
                  <c:v>45833</c:v>
                </c:pt>
                <c:pt idx="176">
                  <c:v>45834</c:v>
                </c:pt>
                <c:pt idx="177">
                  <c:v>45835</c:v>
                </c:pt>
                <c:pt idx="178">
                  <c:v>45836</c:v>
                </c:pt>
                <c:pt idx="179">
                  <c:v>45837</c:v>
                </c:pt>
                <c:pt idx="180">
                  <c:v>45838</c:v>
                </c:pt>
                <c:pt idx="181">
                  <c:v>45839</c:v>
                </c:pt>
                <c:pt idx="182">
                  <c:v>45840</c:v>
                </c:pt>
                <c:pt idx="183">
                  <c:v>45841</c:v>
                </c:pt>
                <c:pt idx="184">
                  <c:v>45842</c:v>
                </c:pt>
                <c:pt idx="185">
                  <c:v>45843</c:v>
                </c:pt>
                <c:pt idx="186">
                  <c:v>45844</c:v>
                </c:pt>
                <c:pt idx="187">
                  <c:v>45845</c:v>
                </c:pt>
                <c:pt idx="188">
                  <c:v>45846</c:v>
                </c:pt>
                <c:pt idx="189">
                  <c:v>45847</c:v>
                </c:pt>
                <c:pt idx="190">
                  <c:v>45848</c:v>
                </c:pt>
                <c:pt idx="191">
                  <c:v>45849</c:v>
                </c:pt>
                <c:pt idx="192">
                  <c:v>45850</c:v>
                </c:pt>
                <c:pt idx="193">
                  <c:v>45851</c:v>
                </c:pt>
                <c:pt idx="194">
                  <c:v>45852</c:v>
                </c:pt>
                <c:pt idx="195">
                  <c:v>45853</c:v>
                </c:pt>
                <c:pt idx="196">
                  <c:v>45854</c:v>
                </c:pt>
                <c:pt idx="197">
                  <c:v>45855</c:v>
                </c:pt>
                <c:pt idx="198">
                  <c:v>45856</c:v>
                </c:pt>
                <c:pt idx="199">
                  <c:v>45857</c:v>
                </c:pt>
                <c:pt idx="200">
                  <c:v>45858</c:v>
                </c:pt>
                <c:pt idx="201">
                  <c:v>45859</c:v>
                </c:pt>
                <c:pt idx="202">
                  <c:v>45860</c:v>
                </c:pt>
                <c:pt idx="203">
                  <c:v>45861</c:v>
                </c:pt>
                <c:pt idx="204">
                  <c:v>45862</c:v>
                </c:pt>
                <c:pt idx="205">
                  <c:v>45863</c:v>
                </c:pt>
                <c:pt idx="206">
                  <c:v>45864</c:v>
                </c:pt>
                <c:pt idx="207">
                  <c:v>45865</c:v>
                </c:pt>
                <c:pt idx="208">
                  <c:v>45866</c:v>
                </c:pt>
                <c:pt idx="209">
                  <c:v>45867</c:v>
                </c:pt>
                <c:pt idx="210">
                  <c:v>45868</c:v>
                </c:pt>
                <c:pt idx="211">
                  <c:v>45869</c:v>
                </c:pt>
                <c:pt idx="212">
                  <c:v>45870</c:v>
                </c:pt>
                <c:pt idx="213">
                  <c:v>45871</c:v>
                </c:pt>
                <c:pt idx="214">
                  <c:v>45872</c:v>
                </c:pt>
                <c:pt idx="215">
                  <c:v>45873</c:v>
                </c:pt>
                <c:pt idx="216">
                  <c:v>45874</c:v>
                </c:pt>
                <c:pt idx="217">
                  <c:v>45875</c:v>
                </c:pt>
                <c:pt idx="218">
                  <c:v>45876</c:v>
                </c:pt>
                <c:pt idx="219">
                  <c:v>45877</c:v>
                </c:pt>
                <c:pt idx="220">
                  <c:v>45878</c:v>
                </c:pt>
                <c:pt idx="221">
                  <c:v>45879</c:v>
                </c:pt>
                <c:pt idx="222">
                  <c:v>45880</c:v>
                </c:pt>
                <c:pt idx="223">
                  <c:v>45881</c:v>
                </c:pt>
                <c:pt idx="224">
                  <c:v>45882</c:v>
                </c:pt>
                <c:pt idx="225">
                  <c:v>45883</c:v>
                </c:pt>
                <c:pt idx="226">
                  <c:v>45884</c:v>
                </c:pt>
                <c:pt idx="227">
                  <c:v>45885</c:v>
                </c:pt>
                <c:pt idx="228">
                  <c:v>45886</c:v>
                </c:pt>
                <c:pt idx="229">
                  <c:v>45887</c:v>
                </c:pt>
                <c:pt idx="230">
                  <c:v>45888</c:v>
                </c:pt>
                <c:pt idx="231">
                  <c:v>45889</c:v>
                </c:pt>
                <c:pt idx="232">
                  <c:v>45890</c:v>
                </c:pt>
                <c:pt idx="233">
                  <c:v>45891</c:v>
                </c:pt>
                <c:pt idx="234">
                  <c:v>45892</c:v>
                </c:pt>
                <c:pt idx="235">
                  <c:v>45893</c:v>
                </c:pt>
                <c:pt idx="236">
                  <c:v>45894</c:v>
                </c:pt>
                <c:pt idx="237">
                  <c:v>45895</c:v>
                </c:pt>
                <c:pt idx="238">
                  <c:v>45896</c:v>
                </c:pt>
                <c:pt idx="239">
                  <c:v>45897</c:v>
                </c:pt>
                <c:pt idx="240">
                  <c:v>45898</c:v>
                </c:pt>
                <c:pt idx="241">
                  <c:v>45899</c:v>
                </c:pt>
                <c:pt idx="242">
                  <c:v>45900</c:v>
                </c:pt>
                <c:pt idx="243">
                  <c:v>45901</c:v>
                </c:pt>
                <c:pt idx="244">
                  <c:v>45902</c:v>
                </c:pt>
                <c:pt idx="245">
                  <c:v>45903</c:v>
                </c:pt>
                <c:pt idx="246">
                  <c:v>45904</c:v>
                </c:pt>
                <c:pt idx="247">
                  <c:v>45905</c:v>
                </c:pt>
                <c:pt idx="248">
                  <c:v>45906</c:v>
                </c:pt>
                <c:pt idx="249">
                  <c:v>45907</c:v>
                </c:pt>
                <c:pt idx="250">
                  <c:v>45908</c:v>
                </c:pt>
                <c:pt idx="251">
                  <c:v>45909</c:v>
                </c:pt>
                <c:pt idx="252">
                  <c:v>45910</c:v>
                </c:pt>
                <c:pt idx="253">
                  <c:v>45911</c:v>
                </c:pt>
                <c:pt idx="254">
                  <c:v>45912</c:v>
                </c:pt>
                <c:pt idx="255">
                  <c:v>45913</c:v>
                </c:pt>
                <c:pt idx="256">
                  <c:v>45914</c:v>
                </c:pt>
                <c:pt idx="257">
                  <c:v>45915</c:v>
                </c:pt>
                <c:pt idx="258">
                  <c:v>45916</c:v>
                </c:pt>
                <c:pt idx="259">
                  <c:v>45917</c:v>
                </c:pt>
                <c:pt idx="260">
                  <c:v>45918</c:v>
                </c:pt>
                <c:pt idx="261">
                  <c:v>45919</c:v>
                </c:pt>
                <c:pt idx="262">
                  <c:v>45920</c:v>
                </c:pt>
                <c:pt idx="263">
                  <c:v>45921</c:v>
                </c:pt>
                <c:pt idx="264">
                  <c:v>45922</c:v>
                </c:pt>
                <c:pt idx="265">
                  <c:v>45923</c:v>
                </c:pt>
                <c:pt idx="266">
                  <c:v>45924</c:v>
                </c:pt>
                <c:pt idx="267">
                  <c:v>45925</c:v>
                </c:pt>
                <c:pt idx="268">
                  <c:v>45926</c:v>
                </c:pt>
                <c:pt idx="269">
                  <c:v>45927</c:v>
                </c:pt>
                <c:pt idx="270">
                  <c:v>45928</c:v>
                </c:pt>
                <c:pt idx="271">
                  <c:v>45929</c:v>
                </c:pt>
                <c:pt idx="272">
                  <c:v>45930</c:v>
                </c:pt>
                <c:pt idx="273">
                  <c:v>45931</c:v>
                </c:pt>
                <c:pt idx="274">
                  <c:v>45932</c:v>
                </c:pt>
                <c:pt idx="275">
                  <c:v>45933</c:v>
                </c:pt>
                <c:pt idx="276">
                  <c:v>45934</c:v>
                </c:pt>
                <c:pt idx="277">
                  <c:v>45935</c:v>
                </c:pt>
                <c:pt idx="278">
                  <c:v>45936</c:v>
                </c:pt>
                <c:pt idx="279">
                  <c:v>45937</c:v>
                </c:pt>
                <c:pt idx="280">
                  <c:v>45938</c:v>
                </c:pt>
                <c:pt idx="281">
                  <c:v>45939</c:v>
                </c:pt>
                <c:pt idx="282">
                  <c:v>45940</c:v>
                </c:pt>
                <c:pt idx="283">
                  <c:v>45941</c:v>
                </c:pt>
                <c:pt idx="284">
                  <c:v>45942</c:v>
                </c:pt>
                <c:pt idx="285">
                  <c:v>45943</c:v>
                </c:pt>
                <c:pt idx="286">
                  <c:v>45944</c:v>
                </c:pt>
                <c:pt idx="287">
                  <c:v>45945</c:v>
                </c:pt>
                <c:pt idx="288">
                  <c:v>45946</c:v>
                </c:pt>
                <c:pt idx="289">
                  <c:v>45947</c:v>
                </c:pt>
                <c:pt idx="290">
                  <c:v>45948</c:v>
                </c:pt>
                <c:pt idx="291">
                  <c:v>45949</c:v>
                </c:pt>
                <c:pt idx="292">
                  <c:v>45950</c:v>
                </c:pt>
                <c:pt idx="293">
                  <c:v>45951</c:v>
                </c:pt>
                <c:pt idx="294">
                  <c:v>45952</c:v>
                </c:pt>
                <c:pt idx="295">
                  <c:v>45953</c:v>
                </c:pt>
                <c:pt idx="296">
                  <c:v>45954</c:v>
                </c:pt>
                <c:pt idx="297">
                  <c:v>45955</c:v>
                </c:pt>
                <c:pt idx="298">
                  <c:v>45956</c:v>
                </c:pt>
                <c:pt idx="299">
                  <c:v>45957</c:v>
                </c:pt>
                <c:pt idx="300">
                  <c:v>45958</c:v>
                </c:pt>
                <c:pt idx="301">
                  <c:v>45959</c:v>
                </c:pt>
                <c:pt idx="302">
                  <c:v>45960</c:v>
                </c:pt>
                <c:pt idx="303">
                  <c:v>45961</c:v>
                </c:pt>
                <c:pt idx="304">
                  <c:v>45962</c:v>
                </c:pt>
                <c:pt idx="305">
                  <c:v>45963</c:v>
                </c:pt>
                <c:pt idx="306">
                  <c:v>45964</c:v>
                </c:pt>
                <c:pt idx="307">
                  <c:v>45965</c:v>
                </c:pt>
                <c:pt idx="308">
                  <c:v>45966</c:v>
                </c:pt>
                <c:pt idx="309">
                  <c:v>45967</c:v>
                </c:pt>
                <c:pt idx="310">
                  <c:v>45968</c:v>
                </c:pt>
                <c:pt idx="311">
                  <c:v>45969</c:v>
                </c:pt>
                <c:pt idx="312">
                  <c:v>45970</c:v>
                </c:pt>
                <c:pt idx="313">
                  <c:v>45971</c:v>
                </c:pt>
                <c:pt idx="314">
                  <c:v>45972</c:v>
                </c:pt>
                <c:pt idx="315">
                  <c:v>45973</c:v>
                </c:pt>
                <c:pt idx="316">
                  <c:v>45974</c:v>
                </c:pt>
                <c:pt idx="317">
                  <c:v>45975</c:v>
                </c:pt>
                <c:pt idx="318">
                  <c:v>45976</c:v>
                </c:pt>
                <c:pt idx="319">
                  <c:v>45977</c:v>
                </c:pt>
                <c:pt idx="320">
                  <c:v>45978</c:v>
                </c:pt>
                <c:pt idx="321">
                  <c:v>45979</c:v>
                </c:pt>
                <c:pt idx="322">
                  <c:v>45980</c:v>
                </c:pt>
                <c:pt idx="323">
                  <c:v>45981</c:v>
                </c:pt>
                <c:pt idx="324">
                  <c:v>45982</c:v>
                </c:pt>
                <c:pt idx="325">
                  <c:v>45983</c:v>
                </c:pt>
                <c:pt idx="326">
                  <c:v>45984</c:v>
                </c:pt>
                <c:pt idx="327">
                  <c:v>45985</c:v>
                </c:pt>
                <c:pt idx="328">
                  <c:v>45986</c:v>
                </c:pt>
                <c:pt idx="329">
                  <c:v>45987</c:v>
                </c:pt>
                <c:pt idx="330">
                  <c:v>45988</c:v>
                </c:pt>
                <c:pt idx="331">
                  <c:v>45989</c:v>
                </c:pt>
                <c:pt idx="332">
                  <c:v>45990</c:v>
                </c:pt>
                <c:pt idx="333">
                  <c:v>45991</c:v>
                </c:pt>
                <c:pt idx="334">
                  <c:v>45992</c:v>
                </c:pt>
                <c:pt idx="335">
                  <c:v>45993</c:v>
                </c:pt>
                <c:pt idx="336">
                  <c:v>45994</c:v>
                </c:pt>
                <c:pt idx="337">
                  <c:v>45995</c:v>
                </c:pt>
                <c:pt idx="338">
                  <c:v>45996</c:v>
                </c:pt>
                <c:pt idx="339">
                  <c:v>45997</c:v>
                </c:pt>
                <c:pt idx="340">
                  <c:v>45998</c:v>
                </c:pt>
                <c:pt idx="341">
                  <c:v>45999</c:v>
                </c:pt>
                <c:pt idx="342">
                  <c:v>46000</c:v>
                </c:pt>
                <c:pt idx="343">
                  <c:v>46001</c:v>
                </c:pt>
                <c:pt idx="344">
                  <c:v>46002</c:v>
                </c:pt>
                <c:pt idx="345">
                  <c:v>46003</c:v>
                </c:pt>
                <c:pt idx="346">
                  <c:v>46004</c:v>
                </c:pt>
                <c:pt idx="347">
                  <c:v>46005</c:v>
                </c:pt>
                <c:pt idx="348">
                  <c:v>46006</c:v>
                </c:pt>
                <c:pt idx="349">
                  <c:v>46007</c:v>
                </c:pt>
                <c:pt idx="350">
                  <c:v>46008</c:v>
                </c:pt>
                <c:pt idx="351">
                  <c:v>46009</c:v>
                </c:pt>
                <c:pt idx="352">
                  <c:v>46010</c:v>
                </c:pt>
                <c:pt idx="353">
                  <c:v>46011</c:v>
                </c:pt>
                <c:pt idx="354">
                  <c:v>46012</c:v>
                </c:pt>
                <c:pt idx="355">
                  <c:v>46013</c:v>
                </c:pt>
                <c:pt idx="356">
                  <c:v>46014</c:v>
                </c:pt>
                <c:pt idx="357">
                  <c:v>46015</c:v>
                </c:pt>
                <c:pt idx="358">
                  <c:v>46016</c:v>
                </c:pt>
                <c:pt idx="359">
                  <c:v>46017</c:v>
                </c:pt>
                <c:pt idx="360">
                  <c:v>46018</c:v>
                </c:pt>
                <c:pt idx="361">
                  <c:v>46019</c:v>
                </c:pt>
                <c:pt idx="362">
                  <c:v>46020</c:v>
                </c:pt>
                <c:pt idx="363">
                  <c:v>46021</c:v>
                </c:pt>
                <c:pt idx="364">
                  <c:v>46022</c:v>
                </c:pt>
                <c:pt idx="365">
                  <c:v>46023</c:v>
                </c:pt>
                <c:pt idx="366">
                  <c:v>46024</c:v>
                </c:pt>
                <c:pt idx="367">
                  <c:v>46025</c:v>
                </c:pt>
                <c:pt idx="368">
                  <c:v>46026</c:v>
                </c:pt>
                <c:pt idx="369">
                  <c:v>46027</c:v>
                </c:pt>
                <c:pt idx="370">
                  <c:v>46028</c:v>
                </c:pt>
                <c:pt idx="371">
                  <c:v>46029</c:v>
                </c:pt>
                <c:pt idx="372">
                  <c:v>46030</c:v>
                </c:pt>
                <c:pt idx="373">
                  <c:v>46031</c:v>
                </c:pt>
                <c:pt idx="374">
                  <c:v>46032</c:v>
                </c:pt>
                <c:pt idx="375">
                  <c:v>46033</c:v>
                </c:pt>
                <c:pt idx="376">
                  <c:v>46034</c:v>
                </c:pt>
                <c:pt idx="377">
                  <c:v>46035</c:v>
                </c:pt>
                <c:pt idx="378">
                  <c:v>46036</c:v>
                </c:pt>
                <c:pt idx="379">
                  <c:v>46037</c:v>
                </c:pt>
                <c:pt idx="380">
                  <c:v>46038</c:v>
                </c:pt>
                <c:pt idx="381">
                  <c:v>46039</c:v>
                </c:pt>
                <c:pt idx="382">
                  <c:v>46040</c:v>
                </c:pt>
                <c:pt idx="383">
                  <c:v>46041</c:v>
                </c:pt>
                <c:pt idx="384">
                  <c:v>46042</c:v>
                </c:pt>
                <c:pt idx="385">
                  <c:v>46043</c:v>
                </c:pt>
                <c:pt idx="386">
                  <c:v>46044</c:v>
                </c:pt>
                <c:pt idx="387">
                  <c:v>46045</c:v>
                </c:pt>
                <c:pt idx="388">
                  <c:v>46046</c:v>
                </c:pt>
                <c:pt idx="389">
                  <c:v>46047</c:v>
                </c:pt>
                <c:pt idx="390">
                  <c:v>46048</c:v>
                </c:pt>
                <c:pt idx="391">
                  <c:v>46049</c:v>
                </c:pt>
                <c:pt idx="392">
                  <c:v>46050</c:v>
                </c:pt>
                <c:pt idx="393">
                  <c:v>46051</c:v>
                </c:pt>
                <c:pt idx="394">
                  <c:v>46052</c:v>
                </c:pt>
                <c:pt idx="395">
                  <c:v>46053</c:v>
                </c:pt>
                <c:pt idx="396">
                  <c:v>46054</c:v>
                </c:pt>
                <c:pt idx="397">
                  <c:v>46055</c:v>
                </c:pt>
                <c:pt idx="398">
                  <c:v>46056</c:v>
                </c:pt>
                <c:pt idx="399">
                  <c:v>46057</c:v>
                </c:pt>
                <c:pt idx="400">
                  <c:v>46058</c:v>
                </c:pt>
                <c:pt idx="401">
                  <c:v>46059</c:v>
                </c:pt>
                <c:pt idx="402">
                  <c:v>46060</c:v>
                </c:pt>
                <c:pt idx="403">
                  <c:v>46061</c:v>
                </c:pt>
                <c:pt idx="404">
                  <c:v>46062</c:v>
                </c:pt>
                <c:pt idx="405">
                  <c:v>46063</c:v>
                </c:pt>
                <c:pt idx="406">
                  <c:v>46064</c:v>
                </c:pt>
                <c:pt idx="407">
                  <c:v>46065</c:v>
                </c:pt>
                <c:pt idx="408">
                  <c:v>46066</c:v>
                </c:pt>
                <c:pt idx="409">
                  <c:v>46067</c:v>
                </c:pt>
                <c:pt idx="410">
                  <c:v>46068</c:v>
                </c:pt>
                <c:pt idx="411">
                  <c:v>46069</c:v>
                </c:pt>
                <c:pt idx="412">
                  <c:v>46070</c:v>
                </c:pt>
                <c:pt idx="413">
                  <c:v>46071</c:v>
                </c:pt>
                <c:pt idx="414">
                  <c:v>46072</c:v>
                </c:pt>
                <c:pt idx="415">
                  <c:v>46073</c:v>
                </c:pt>
                <c:pt idx="416">
                  <c:v>46074</c:v>
                </c:pt>
                <c:pt idx="417">
                  <c:v>46075</c:v>
                </c:pt>
                <c:pt idx="418">
                  <c:v>46076</c:v>
                </c:pt>
                <c:pt idx="419">
                  <c:v>46077</c:v>
                </c:pt>
                <c:pt idx="420">
                  <c:v>46078</c:v>
                </c:pt>
                <c:pt idx="421">
                  <c:v>46079</c:v>
                </c:pt>
                <c:pt idx="422">
                  <c:v>46080</c:v>
                </c:pt>
                <c:pt idx="423">
                  <c:v>46081</c:v>
                </c:pt>
                <c:pt idx="424">
                  <c:v>46082</c:v>
                </c:pt>
                <c:pt idx="425">
                  <c:v>46083</c:v>
                </c:pt>
                <c:pt idx="426">
                  <c:v>46084</c:v>
                </c:pt>
                <c:pt idx="427">
                  <c:v>46085</c:v>
                </c:pt>
                <c:pt idx="428">
                  <c:v>46086</c:v>
                </c:pt>
                <c:pt idx="429">
                  <c:v>46087</c:v>
                </c:pt>
                <c:pt idx="430">
                  <c:v>46088</c:v>
                </c:pt>
                <c:pt idx="431">
                  <c:v>46089</c:v>
                </c:pt>
                <c:pt idx="432">
                  <c:v>46090</c:v>
                </c:pt>
                <c:pt idx="433">
                  <c:v>46091</c:v>
                </c:pt>
                <c:pt idx="434">
                  <c:v>46092</c:v>
                </c:pt>
                <c:pt idx="435">
                  <c:v>46093</c:v>
                </c:pt>
                <c:pt idx="436">
                  <c:v>46094</c:v>
                </c:pt>
                <c:pt idx="437">
                  <c:v>46095</c:v>
                </c:pt>
                <c:pt idx="438">
                  <c:v>46096</c:v>
                </c:pt>
                <c:pt idx="439">
                  <c:v>46097</c:v>
                </c:pt>
                <c:pt idx="440">
                  <c:v>46098</c:v>
                </c:pt>
                <c:pt idx="441">
                  <c:v>46099</c:v>
                </c:pt>
                <c:pt idx="442">
                  <c:v>46100</c:v>
                </c:pt>
                <c:pt idx="443">
                  <c:v>46101</c:v>
                </c:pt>
                <c:pt idx="444">
                  <c:v>46102</c:v>
                </c:pt>
                <c:pt idx="445">
                  <c:v>46103</c:v>
                </c:pt>
                <c:pt idx="446">
                  <c:v>46104</c:v>
                </c:pt>
                <c:pt idx="447">
                  <c:v>46105</c:v>
                </c:pt>
                <c:pt idx="448">
                  <c:v>46106</c:v>
                </c:pt>
                <c:pt idx="449">
                  <c:v>46107</c:v>
                </c:pt>
                <c:pt idx="450">
                  <c:v>46108</c:v>
                </c:pt>
                <c:pt idx="451">
                  <c:v>46109</c:v>
                </c:pt>
                <c:pt idx="452">
                  <c:v>46110</c:v>
                </c:pt>
                <c:pt idx="453">
                  <c:v>46111</c:v>
                </c:pt>
                <c:pt idx="454">
                  <c:v>46112</c:v>
                </c:pt>
                <c:pt idx="455">
                  <c:v>46113</c:v>
                </c:pt>
                <c:pt idx="456">
                  <c:v>46114</c:v>
                </c:pt>
                <c:pt idx="457">
                  <c:v>46115</c:v>
                </c:pt>
                <c:pt idx="458">
                  <c:v>46116</c:v>
                </c:pt>
                <c:pt idx="459">
                  <c:v>46117</c:v>
                </c:pt>
                <c:pt idx="460">
                  <c:v>46118</c:v>
                </c:pt>
                <c:pt idx="461">
                  <c:v>46119</c:v>
                </c:pt>
                <c:pt idx="462">
                  <c:v>46120</c:v>
                </c:pt>
                <c:pt idx="463">
                  <c:v>46121</c:v>
                </c:pt>
                <c:pt idx="464">
                  <c:v>46122</c:v>
                </c:pt>
                <c:pt idx="465">
                  <c:v>46123</c:v>
                </c:pt>
                <c:pt idx="466">
                  <c:v>46124</c:v>
                </c:pt>
                <c:pt idx="467">
                  <c:v>46125</c:v>
                </c:pt>
                <c:pt idx="468">
                  <c:v>46126</c:v>
                </c:pt>
                <c:pt idx="469">
                  <c:v>46127</c:v>
                </c:pt>
                <c:pt idx="470">
                  <c:v>46128</c:v>
                </c:pt>
                <c:pt idx="471">
                  <c:v>46129</c:v>
                </c:pt>
                <c:pt idx="472">
                  <c:v>46130</c:v>
                </c:pt>
                <c:pt idx="473">
                  <c:v>46131</c:v>
                </c:pt>
                <c:pt idx="474">
                  <c:v>46132</c:v>
                </c:pt>
                <c:pt idx="475">
                  <c:v>46133</c:v>
                </c:pt>
                <c:pt idx="476">
                  <c:v>46134</c:v>
                </c:pt>
                <c:pt idx="477">
                  <c:v>46135</c:v>
                </c:pt>
                <c:pt idx="478">
                  <c:v>46136</c:v>
                </c:pt>
                <c:pt idx="479">
                  <c:v>46137</c:v>
                </c:pt>
                <c:pt idx="480">
                  <c:v>46138</c:v>
                </c:pt>
                <c:pt idx="481">
                  <c:v>46139</c:v>
                </c:pt>
                <c:pt idx="482">
                  <c:v>46140</c:v>
                </c:pt>
                <c:pt idx="483">
                  <c:v>46141</c:v>
                </c:pt>
                <c:pt idx="484">
                  <c:v>46142</c:v>
                </c:pt>
                <c:pt idx="485">
                  <c:v>46143</c:v>
                </c:pt>
                <c:pt idx="486">
                  <c:v>46144</c:v>
                </c:pt>
                <c:pt idx="487">
                  <c:v>46145</c:v>
                </c:pt>
                <c:pt idx="488">
                  <c:v>46146</c:v>
                </c:pt>
                <c:pt idx="489">
                  <c:v>46147</c:v>
                </c:pt>
                <c:pt idx="490">
                  <c:v>46148</c:v>
                </c:pt>
                <c:pt idx="491">
                  <c:v>46149</c:v>
                </c:pt>
                <c:pt idx="492">
                  <c:v>46150</c:v>
                </c:pt>
                <c:pt idx="493">
                  <c:v>46151</c:v>
                </c:pt>
                <c:pt idx="494">
                  <c:v>46152</c:v>
                </c:pt>
                <c:pt idx="495">
                  <c:v>46153</c:v>
                </c:pt>
                <c:pt idx="496">
                  <c:v>46154</c:v>
                </c:pt>
                <c:pt idx="497">
                  <c:v>46155</c:v>
                </c:pt>
                <c:pt idx="498">
                  <c:v>46156</c:v>
                </c:pt>
                <c:pt idx="499">
                  <c:v>46157</c:v>
                </c:pt>
                <c:pt idx="500">
                  <c:v>46158</c:v>
                </c:pt>
                <c:pt idx="501">
                  <c:v>46159</c:v>
                </c:pt>
                <c:pt idx="502">
                  <c:v>46160</c:v>
                </c:pt>
                <c:pt idx="503">
                  <c:v>46161</c:v>
                </c:pt>
                <c:pt idx="504">
                  <c:v>46162</c:v>
                </c:pt>
                <c:pt idx="505">
                  <c:v>46163</c:v>
                </c:pt>
                <c:pt idx="506">
                  <c:v>46164</c:v>
                </c:pt>
                <c:pt idx="507">
                  <c:v>46165</c:v>
                </c:pt>
                <c:pt idx="508">
                  <c:v>46166</c:v>
                </c:pt>
                <c:pt idx="509">
                  <c:v>46167</c:v>
                </c:pt>
                <c:pt idx="510">
                  <c:v>46168</c:v>
                </c:pt>
                <c:pt idx="511">
                  <c:v>46169</c:v>
                </c:pt>
                <c:pt idx="512">
                  <c:v>46170</c:v>
                </c:pt>
                <c:pt idx="513">
                  <c:v>46171</c:v>
                </c:pt>
                <c:pt idx="514">
                  <c:v>46172</c:v>
                </c:pt>
                <c:pt idx="515">
                  <c:v>46173</c:v>
                </c:pt>
                <c:pt idx="516">
                  <c:v>46174</c:v>
                </c:pt>
                <c:pt idx="517">
                  <c:v>46175</c:v>
                </c:pt>
                <c:pt idx="518">
                  <c:v>46176</c:v>
                </c:pt>
                <c:pt idx="519">
                  <c:v>46177</c:v>
                </c:pt>
                <c:pt idx="520">
                  <c:v>46178</c:v>
                </c:pt>
                <c:pt idx="521">
                  <c:v>46179</c:v>
                </c:pt>
                <c:pt idx="522">
                  <c:v>46180</c:v>
                </c:pt>
                <c:pt idx="523">
                  <c:v>46181</c:v>
                </c:pt>
                <c:pt idx="524">
                  <c:v>46182</c:v>
                </c:pt>
                <c:pt idx="525">
                  <c:v>46183</c:v>
                </c:pt>
                <c:pt idx="526">
                  <c:v>46184</c:v>
                </c:pt>
                <c:pt idx="527">
                  <c:v>46185</c:v>
                </c:pt>
                <c:pt idx="528">
                  <c:v>46186</c:v>
                </c:pt>
                <c:pt idx="529">
                  <c:v>46187</c:v>
                </c:pt>
                <c:pt idx="530">
                  <c:v>46188</c:v>
                </c:pt>
                <c:pt idx="531">
                  <c:v>46189</c:v>
                </c:pt>
                <c:pt idx="532">
                  <c:v>46190</c:v>
                </c:pt>
                <c:pt idx="533">
                  <c:v>46191</c:v>
                </c:pt>
                <c:pt idx="534">
                  <c:v>46192</c:v>
                </c:pt>
                <c:pt idx="535">
                  <c:v>46193</c:v>
                </c:pt>
                <c:pt idx="536">
                  <c:v>46194</c:v>
                </c:pt>
                <c:pt idx="537">
                  <c:v>46195</c:v>
                </c:pt>
                <c:pt idx="538">
                  <c:v>46196</c:v>
                </c:pt>
                <c:pt idx="539">
                  <c:v>46197</c:v>
                </c:pt>
                <c:pt idx="540">
                  <c:v>46198</c:v>
                </c:pt>
                <c:pt idx="541">
                  <c:v>46199</c:v>
                </c:pt>
                <c:pt idx="542">
                  <c:v>46200</c:v>
                </c:pt>
                <c:pt idx="543">
                  <c:v>46201</c:v>
                </c:pt>
                <c:pt idx="544">
                  <c:v>46202</c:v>
                </c:pt>
                <c:pt idx="545">
                  <c:v>46203</c:v>
                </c:pt>
                <c:pt idx="546">
                  <c:v>46204</c:v>
                </c:pt>
                <c:pt idx="547">
                  <c:v>46205</c:v>
                </c:pt>
                <c:pt idx="548">
                  <c:v>46206</c:v>
                </c:pt>
                <c:pt idx="549">
                  <c:v>46207</c:v>
                </c:pt>
                <c:pt idx="550">
                  <c:v>46208</c:v>
                </c:pt>
                <c:pt idx="551">
                  <c:v>46209</c:v>
                </c:pt>
                <c:pt idx="552">
                  <c:v>46210</c:v>
                </c:pt>
                <c:pt idx="553">
                  <c:v>46211</c:v>
                </c:pt>
                <c:pt idx="554">
                  <c:v>46212</c:v>
                </c:pt>
                <c:pt idx="555">
                  <c:v>46213</c:v>
                </c:pt>
                <c:pt idx="556">
                  <c:v>46214</c:v>
                </c:pt>
                <c:pt idx="557">
                  <c:v>46215</c:v>
                </c:pt>
                <c:pt idx="558">
                  <c:v>46216</c:v>
                </c:pt>
                <c:pt idx="559">
                  <c:v>46217</c:v>
                </c:pt>
                <c:pt idx="560">
                  <c:v>46218</c:v>
                </c:pt>
                <c:pt idx="561">
                  <c:v>46219</c:v>
                </c:pt>
                <c:pt idx="562">
                  <c:v>46220</c:v>
                </c:pt>
                <c:pt idx="563">
                  <c:v>46221</c:v>
                </c:pt>
                <c:pt idx="564">
                  <c:v>46222</c:v>
                </c:pt>
                <c:pt idx="565">
                  <c:v>46223</c:v>
                </c:pt>
                <c:pt idx="566">
                  <c:v>46224</c:v>
                </c:pt>
                <c:pt idx="567">
                  <c:v>46225</c:v>
                </c:pt>
                <c:pt idx="568">
                  <c:v>46226</c:v>
                </c:pt>
                <c:pt idx="569">
                  <c:v>46227</c:v>
                </c:pt>
                <c:pt idx="570">
                  <c:v>46228</c:v>
                </c:pt>
                <c:pt idx="571">
                  <c:v>46229</c:v>
                </c:pt>
                <c:pt idx="572">
                  <c:v>46230</c:v>
                </c:pt>
                <c:pt idx="573">
                  <c:v>46231</c:v>
                </c:pt>
                <c:pt idx="574">
                  <c:v>46232</c:v>
                </c:pt>
                <c:pt idx="575">
                  <c:v>46233</c:v>
                </c:pt>
                <c:pt idx="576">
                  <c:v>46234</c:v>
                </c:pt>
                <c:pt idx="577">
                  <c:v>46235</c:v>
                </c:pt>
                <c:pt idx="578">
                  <c:v>46236</c:v>
                </c:pt>
                <c:pt idx="579">
                  <c:v>46237</c:v>
                </c:pt>
                <c:pt idx="580">
                  <c:v>46238</c:v>
                </c:pt>
                <c:pt idx="581">
                  <c:v>46239</c:v>
                </c:pt>
                <c:pt idx="582">
                  <c:v>46240</c:v>
                </c:pt>
                <c:pt idx="583">
                  <c:v>46241</c:v>
                </c:pt>
                <c:pt idx="584">
                  <c:v>46242</c:v>
                </c:pt>
                <c:pt idx="585">
                  <c:v>46243</c:v>
                </c:pt>
                <c:pt idx="586">
                  <c:v>46244</c:v>
                </c:pt>
                <c:pt idx="587">
                  <c:v>46245</c:v>
                </c:pt>
                <c:pt idx="588">
                  <c:v>46246</c:v>
                </c:pt>
                <c:pt idx="589">
                  <c:v>46247</c:v>
                </c:pt>
                <c:pt idx="590">
                  <c:v>46248</c:v>
                </c:pt>
                <c:pt idx="591">
                  <c:v>46249</c:v>
                </c:pt>
                <c:pt idx="592">
                  <c:v>46250</c:v>
                </c:pt>
                <c:pt idx="593">
                  <c:v>46251</c:v>
                </c:pt>
                <c:pt idx="594">
                  <c:v>46252</c:v>
                </c:pt>
                <c:pt idx="595">
                  <c:v>46253</c:v>
                </c:pt>
                <c:pt idx="596">
                  <c:v>46254</c:v>
                </c:pt>
                <c:pt idx="597">
                  <c:v>46255</c:v>
                </c:pt>
                <c:pt idx="598">
                  <c:v>46256</c:v>
                </c:pt>
                <c:pt idx="599">
                  <c:v>46257</c:v>
                </c:pt>
                <c:pt idx="600">
                  <c:v>46258</c:v>
                </c:pt>
                <c:pt idx="601">
                  <c:v>46259</c:v>
                </c:pt>
                <c:pt idx="602">
                  <c:v>46260</c:v>
                </c:pt>
                <c:pt idx="603">
                  <c:v>46261</c:v>
                </c:pt>
                <c:pt idx="604">
                  <c:v>46262</c:v>
                </c:pt>
                <c:pt idx="605">
                  <c:v>46263</c:v>
                </c:pt>
                <c:pt idx="606">
                  <c:v>46264</c:v>
                </c:pt>
                <c:pt idx="607">
                  <c:v>46265</c:v>
                </c:pt>
                <c:pt idx="608">
                  <c:v>46266</c:v>
                </c:pt>
                <c:pt idx="609">
                  <c:v>46267</c:v>
                </c:pt>
                <c:pt idx="610">
                  <c:v>46268</c:v>
                </c:pt>
                <c:pt idx="611">
                  <c:v>46269</c:v>
                </c:pt>
                <c:pt idx="612">
                  <c:v>46270</c:v>
                </c:pt>
                <c:pt idx="613">
                  <c:v>46271</c:v>
                </c:pt>
                <c:pt idx="614">
                  <c:v>46272</c:v>
                </c:pt>
                <c:pt idx="615">
                  <c:v>46273</c:v>
                </c:pt>
                <c:pt idx="616">
                  <c:v>46274</c:v>
                </c:pt>
                <c:pt idx="617">
                  <c:v>46275</c:v>
                </c:pt>
                <c:pt idx="618">
                  <c:v>46276</c:v>
                </c:pt>
                <c:pt idx="619">
                  <c:v>46277</c:v>
                </c:pt>
                <c:pt idx="620">
                  <c:v>46278</c:v>
                </c:pt>
                <c:pt idx="621">
                  <c:v>46279</c:v>
                </c:pt>
                <c:pt idx="622">
                  <c:v>46280</c:v>
                </c:pt>
                <c:pt idx="623">
                  <c:v>46281</c:v>
                </c:pt>
                <c:pt idx="624">
                  <c:v>46282</c:v>
                </c:pt>
                <c:pt idx="625">
                  <c:v>46283</c:v>
                </c:pt>
                <c:pt idx="626">
                  <c:v>46284</c:v>
                </c:pt>
                <c:pt idx="627">
                  <c:v>46285</c:v>
                </c:pt>
                <c:pt idx="628">
                  <c:v>46286</c:v>
                </c:pt>
                <c:pt idx="629">
                  <c:v>46287</c:v>
                </c:pt>
                <c:pt idx="630">
                  <c:v>46288</c:v>
                </c:pt>
                <c:pt idx="631">
                  <c:v>46289</c:v>
                </c:pt>
                <c:pt idx="632">
                  <c:v>46290</c:v>
                </c:pt>
                <c:pt idx="633">
                  <c:v>46291</c:v>
                </c:pt>
                <c:pt idx="634">
                  <c:v>46292</c:v>
                </c:pt>
                <c:pt idx="635">
                  <c:v>46293</c:v>
                </c:pt>
                <c:pt idx="636">
                  <c:v>46294</c:v>
                </c:pt>
                <c:pt idx="637">
                  <c:v>46295</c:v>
                </c:pt>
                <c:pt idx="638">
                  <c:v>46296</c:v>
                </c:pt>
                <c:pt idx="639">
                  <c:v>46297</c:v>
                </c:pt>
                <c:pt idx="640">
                  <c:v>46298</c:v>
                </c:pt>
                <c:pt idx="641">
                  <c:v>46299</c:v>
                </c:pt>
                <c:pt idx="642">
                  <c:v>46300</c:v>
                </c:pt>
                <c:pt idx="643">
                  <c:v>46301</c:v>
                </c:pt>
                <c:pt idx="644">
                  <c:v>46302</c:v>
                </c:pt>
                <c:pt idx="645">
                  <c:v>46303</c:v>
                </c:pt>
                <c:pt idx="646">
                  <c:v>46304</c:v>
                </c:pt>
                <c:pt idx="647">
                  <c:v>46305</c:v>
                </c:pt>
                <c:pt idx="648">
                  <c:v>46306</c:v>
                </c:pt>
                <c:pt idx="649">
                  <c:v>46307</c:v>
                </c:pt>
                <c:pt idx="650">
                  <c:v>46308</c:v>
                </c:pt>
                <c:pt idx="651">
                  <c:v>46309</c:v>
                </c:pt>
                <c:pt idx="652">
                  <c:v>46310</c:v>
                </c:pt>
                <c:pt idx="653">
                  <c:v>46311</c:v>
                </c:pt>
                <c:pt idx="654">
                  <c:v>46312</c:v>
                </c:pt>
                <c:pt idx="655">
                  <c:v>46313</c:v>
                </c:pt>
                <c:pt idx="656">
                  <c:v>46314</c:v>
                </c:pt>
                <c:pt idx="657">
                  <c:v>46315</c:v>
                </c:pt>
                <c:pt idx="658">
                  <c:v>46316</c:v>
                </c:pt>
                <c:pt idx="659">
                  <c:v>46317</c:v>
                </c:pt>
                <c:pt idx="660">
                  <c:v>46318</c:v>
                </c:pt>
                <c:pt idx="661">
                  <c:v>46319</c:v>
                </c:pt>
                <c:pt idx="662">
                  <c:v>46320</c:v>
                </c:pt>
                <c:pt idx="663">
                  <c:v>46321</c:v>
                </c:pt>
                <c:pt idx="664">
                  <c:v>46322</c:v>
                </c:pt>
                <c:pt idx="665">
                  <c:v>46323</c:v>
                </c:pt>
                <c:pt idx="666">
                  <c:v>46324</c:v>
                </c:pt>
                <c:pt idx="667">
                  <c:v>46325</c:v>
                </c:pt>
                <c:pt idx="668">
                  <c:v>46326</c:v>
                </c:pt>
                <c:pt idx="669">
                  <c:v>46327</c:v>
                </c:pt>
                <c:pt idx="670">
                  <c:v>46328</c:v>
                </c:pt>
                <c:pt idx="671">
                  <c:v>46329</c:v>
                </c:pt>
                <c:pt idx="672">
                  <c:v>46330</c:v>
                </c:pt>
                <c:pt idx="673">
                  <c:v>46331</c:v>
                </c:pt>
                <c:pt idx="674">
                  <c:v>46332</c:v>
                </c:pt>
                <c:pt idx="675">
                  <c:v>46333</c:v>
                </c:pt>
                <c:pt idx="676">
                  <c:v>46334</c:v>
                </c:pt>
                <c:pt idx="677">
                  <c:v>46335</c:v>
                </c:pt>
                <c:pt idx="678">
                  <c:v>46336</c:v>
                </c:pt>
                <c:pt idx="679">
                  <c:v>46337</c:v>
                </c:pt>
                <c:pt idx="680">
                  <c:v>46338</c:v>
                </c:pt>
                <c:pt idx="681">
                  <c:v>46339</c:v>
                </c:pt>
                <c:pt idx="682">
                  <c:v>46340</c:v>
                </c:pt>
                <c:pt idx="683">
                  <c:v>46341</c:v>
                </c:pt>
                <c:pt idx="684">
                  <c:v>46342</c:v>
                </c:pt>
                <c:pt idx="685">
                  <c:v>46343</c:v>
                </c:pt>
                <c:pt idx="686">
                  <c:v>46344</c:v>
                </c:pt>
                <c:pt idx="687">
                  <c:v>46345</c:v>
                </c:pt>
                <c:pt idx="688">
                  <c:v>46346</c:v>
                </c:pt>
                <c:pt idx="689">
                  <c:v>46347</c:v>
                </c:pt>
                <c:pt idx="690">
                  <c:v>46348</c:v>
                </c:pt>
                <c:pt idx="691">
                  <c:v>46349</c:v>
                </c:pt>
                <c:pt idx="692">
                  <c:v>46350</c:v>
                </c:pt>
                <c:pt idx="693">
                  <c:v>46351</c:v>
                </c:pt>
                <c:pt idx="694">
                  <c:v>46352</c:v>
                </c:pt>
                <c:pt idx="695">
                  <c:v>46353</c:v>
                </c:pt>
                <c:pt idx="696">
                  <c:v>46354</c:v>
                </c:pt>
                <c:pt idx="697">
                  <c:v>46355</c:v>
                </c:pt>
                <c:pt idx="698">
                  <c:v>46356</c:v>
                </c:pt>
                <c:pt idx="699">
                  <c:v>46357</c:v>
                </c:pt>
                <c:pt idx="700">
                  <c:v>46358</c:v>
                </c:pt>
                <c:pt idx="701">
                  <c:v>46359</c:v>
                </c:pt>
                <c:pt idx="702">
                  <c:v>46360</c:v>
                </c:pt>
                <c:pt idx="703">
                  <c:v>46361</c:v>
                </c:pt>
                <c:pt idx="704">
                  <c:v>46362</c:v>
                </c:pt>
                <c:pt idx="705">
                  <c:v>46363</c:v>
                </c:pt>
                <c:pt idx="706">
                  <c:v>46364</c:v>
                </c:pt>
                <c:pt idx="707">
                  <c:v>46365</c:v>
                </c:pt>
                <c:pt idx="708">
                  <c:v>46366</c:v>
                </c:pt>
                <c:pt idx="709">
                  <c:v>46367</c:v>
                </c:pt>
                <c:pt idx="710">
                  <c:v>46368</c:v>
                </c:pt>
                <c:pt idx="711">
                  <c:v>46369</c:v>
                </c:pt>
                <c:pt idx="712">
                  <c:v>46370</c:v>
                </c:pt>
                <c:pt idx="713">
                  <c:v>46371</c:v>
                </c:pt>
                <c:pt idx="714">
                  <c:v>46372</c:v>
                </c:pt>
                <c:pt idx="715">
                  <c:v>46373</c:v>
                </c:pt>
                <c:pt idx="716">
                  <c:v>46374</c:v>
                </c:pt>
                <c:pt idx="717">
                  <c:v>46375</c:v>
                </c:pt>
                <c:pt idx="718">
                  <c:v>46376</c:v>
                </c:pt>
                <c:pt idx="719">
                  <c:v>46377</c:v>
                </c:pt>
                <c:pt idx="720">
                  <c:v>46378</c:v>
                </c:pt>
                <c:pt idx="721">
                  <c:v>46379</c:v>
                </c:pt>
                <c:pt idx="722">
                  <c:v>46380</c:v>
                </c:pt>
                <c:pt idx="723">
                  <c:v>46381</c:v>
                </c:pt>
                <c:pt idx="724">
                  <c:v>46382</c:v>
                </c:pt>
                <c:pt idx="725">
                  <c:v>46383</c:v>
                </c:pt>
                <c:pt idx="726">
                  <c:v>46384</c:v>
                </c:pt>
                <c:pt idx="727">
                  <c:v>46385</c:v>
                </c:pt>
                <c:pt idx="728">
                  <c:v>46386</c:v>
                </c:pt>
                <c:pt idx="729">
                  <c:v>46387</c:v>
                </c:pt>
                <c:pt idx="730">
                  <c:v>46388</c:v>
                </c:pt>
                <c:pt idx="731">
                  <c:v>46389</c:v>
                </c:pt>
                <c:pt idx="732">
                  <c:v>46390</c:v>
                </c:pt>
                <c:pt idx="733">
                  <c:v>46391</c:v>
                </c:pt>
                <c:pt idx="734">
                  <c:v>46392</c:v>
                </c:pt>
                <c:pt idx="735">
                  <c:v>46393</c:v>
                </c:pt>
                <c:pt idx="736">
                  <c:v>46394</c:v>
                </c:pt>
                <c:pt idx="737">
                  <c:v>46395</c:v>
                </c:pt>
                <c:pt idx="738">
                  <c:v>46396</c:v>
                </c:pt>
                <c:pt idx="739">
                  <c:v>46397</c:v>
                </c:pt>
                <c:pt idx="740">
                  <c:v>46398</c:v>
                </c:pt>
                <c:pt idx="741">
                  <c:v>46399</c:v>
                </c:pt>
                <c:pt idx="742">
                  <c:v>46400</c:v>
                </c:pt>
                <c:pt idx="743">
                  <c:v>46401</c:v>
                </c:pt>
                <c:pt idx="744">
                  <c:v>46402</c:v>
                </c:pt>
                <c:pt idx="745">
                  <c:v>46403</c:v>
                </c:pt>
                <c:pt idx="746">
                  <c:v>46404</c:v>
                </c:pt>
                <c:pt idx="747">
                  <c:v>46405</c:v>
                </c:pt>
                <c:pt idx="748">
                  <c:v>46406</c:v>
                </c:pt>
                <c:pt idx="749">
                  <c:v>46407</c:v>
                </c:pt>
                <c:pt idx="750">
                  <c:v>46408</c:v>
                </c:pt>
                <c:pt idx="751">
                  <c:v>46409</c:v>
                </c:pt>
                <c:pt idx="752">
                  <c:v>46410</c:v>
                </c:pt>
                <c:pt idx="753">
                  <c:v>46411</c:v>
                </c:pt>
                <c:pt idx="754">
                  <c:v>46412</c:v>
                </c:pt>
                <c:pt idx="755">
                  <c:v>46413</c:v>
                </c:pt>
                <c:pt idx="756">
                  <c:v>46414</c:v>
                </c:pt>
                <c:pt idx="757">
                  <c:v>46415</c:v>
                </c:pt>
                <c:pt idx="758">
                  <c:v>46416</c:v>
                </c:pt>
                <c:pt idx="759">
                  <c:v>46417</c:v>
                </c:pt>
                <c:pt idx="760">
                  <c:v>46418</c:v>
                </c:pt>
                <c:pt idx="761">
                  <c:v>46419</c:v>
                </c:pt>
                <c:pt idx="762">
                  <c:v>46420</c:v>
                </c:pt>
                <c:pt idx="763">
                  <c:v>46421</c:v>
                </c:pt>
                <c:pt idx="764">
                  <c:v>46422</c:v>
                </c:pt>
                <c:pt idx="765">
                  <c:v>46423</c:v>
                </c:pt>
                <c:pt idx="766">
                  <c:v>46424</c:v>
                </c:pt>
                <c:pt idx="767">
                  <c:v>46425</c:v>
                </c:pt>
                <c:pt idx="768">
                  <c:v>46426</c:v>
                </c:pt>
                <c:pt idx="769">
                  <c:v>46427</c:v>
                </c:pt>
                <c:pt idx="770">
                  <c:v>46428</c:v>
                </c:pt>
                <c:pt idx="771">
                  <c:v>46429</c:v>
                </c:pt>
                <c:pt idx="772">
                  <c:v>46430</c:v>
                </c:pt>
                <c:pt idx="773">
                  <c:v>46431</c:v>
                </c:pt>
                <c:pt idx="774">
                  <c:v>46432</c:v>
                </c:pt>
                <c:pt idx="775">
                  <c:v>46433</c:v>
                </c:pt>
                <c:pt idx="776">
                  <c:v>46434</c:v>
                </c:pt>
                <c:pt idx="777">
                  <c:v>46435</c:v>
                </c:pt>
                <c:pt idx="778">
                  <c:v>46436</c:v>
                </c:pt>
                <c:pt idx="779">
                  <c:v>46437</c:v>
                </c:pt>
                <c:pt idx="780">
                  <c:v>46438</c:v>
                </c:pt>
                <c:pt idx="781">
                  <c:v>46439</c:v>
                </c:pt>
                <c:pt idx="782">
                  <c:v>46440</c:v>
                </c:pt>
              </c:numCache>
            </c:numRef>
          </c:xVal>
          <c:yVal>
            <c:numRef>
              <c:f>Sheet3!$F$10:$F$792</c:f>
              <c:numCache>
                <c:formatCode>General</c:formatCode>
                <c:ptCount val="783"/>
                <c:pt idx="19">
                  <c:v>212</c:v>
                </c:pt>
                <c:pt idx="32">
                  <c:v>218</c:v>
                </c:pt>
                <c:pt idx="40">
                  <c:v>217</c:v>
                </c:pt>
                <c:pt idx="49">
                  <c:v>212</c:v>
                </c:pt>
                <c:pt idx="51">
                  <c:v>214</c:v>
                </c:pt>
                <c:pt idx="250">
                  <c:v>294</c:v>
                </c:pt>
                <c:pt idx="257">
                  <c:v>256</c:v>
                </c:pt>
                <c:pt idx="261">
                  <c:v>220</c:v>
                </c:pt>
                <c:pt idx="265">
                  <c:v>225</c:v>
                </c:pt>
                <c:pt idx="749">
                  <c:v>212</c:v>
                </c:pt>
                <c:pt idx="762">
                  <c:v>218</c:v>
                </c:pt>
                <c:pt idx="770">
                  <c:v>217</c:v>
                </c:pt>
                <c:pt idx="779">
                  <c:v>212</c:v>
                </c:pt>
                <c:pt idx="781">
                  <c:v>214</c:v>
                </c:pt>
              </c:numCache>
            </c:numRef>
          </c:yVal>
          <c:smooth val="0"/>
          <c:extLst>
            <c:ext xmlns:c16="http://schemas.microsoft.com/office/drawing/2014/chart" uri="{C3380CC4-5D6E-409C-BE32-E72D297353CC}">
              <c16:uniqueId val="{00000000-2BA8-4A35-B81C-9757276E160D}"/>
            </c:ext>
          </c:extLst>
        </c:ser>
        <c:dLbls>
          <c:showLegendKey val="0"/>
          <c:showVal val="0"/>
          <c:showCatName val="0"/>
          <c:showSerName val="0"/>
          <c:showPercent val="0"/>
          <c:showBubbleSize val="0"/>
        </c:dLbls>
        <c:axId val="999391328"/>
        <c:axId val="999395288"/>
      </c:scatterChart>
      <c:valAx>
        <c:axId val="999391328"/>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95288"/>
        <c:crosses val="autoZero"/>
        <c:crossBetween val="midCat"/>
      </c:valAx>
      <c:valAx>
        <c:axId val="99939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91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tockChart>
        <c:ser>
          <c:idx val="0"/>
          <c:order val="0"/>
          <c:tx>
            <c:strRef>
              <c:f>Sheet3!$AD$22</c:f>
              <c:strCache>
                <c:ptCount val="1"/>
                <c:pt idx="0">
                  <c:v>High Price</c:v>
                </c:pt>
              </c:strCache>
            </c:strRef>
          </c:tx>
          <c:spPr>
            <a:ln w="38100" cap="rnd">
              <a:noFill/>
              <a:round/>
            </a:ln>
            <a:effectLst/>
          </c:spPr>
          <c:marker>
            <c:symbol val="none"/>
          </c:marker>
          <c:cat>
            <c:numRef>
              <c:f>Sheet3!$AB$23:$AB$33</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Sheet3!$AD$23:$AD$33</c:f>
              <c:numCache>
                <c:formatCode>m/d/yyyy</c:formatCode>
                <c:ptCount val="11"/>
                <c:pt idx="0">
                  <c:v>46118</c:v>
                </c:pt>
                <c:pt idx="1">
                  <c:v>46181</c:v>
                </c:pt>
                <c:pt idx="2">
                  <c:v>46160</c:v>
                </c:pt>
                <c:pt idx="3">
                  <c:v>46147</c:v>
                </c:pt>
                <c:pt idx="4">
                  <c:v>46150</c:v>
                </c:pt>
                <c:pt idx="5">
                  <c:v>46150</c:v>
                </c:pt>
                <c:pt idx="6">
                  <c:v>46155</c:v>
                </c:pt>
                <c:pt idx="7">
                  <c:v>46162</c:v>
                </c:pt>
                <c:pt idx="8">
                  <c:v>46171</c:v>
                </c:pt>
                <c:pt idx="9">
                  <c:v>46161</c:v>
                </c:pt>
                <c:pt idx="10">
                  <c:v>46184</c:v>
                </c:pt>
              </c:numCache>
            </c:numRef>
          </c:val>
          <c:smooth val="0"/>
          <c:extLst>
            <c:ext xmlns:c16="http://schemas.microsoft.com/office/drawing/2014/chart" uri="{C3380CC4-5D6E-409C-BE32-E72D297353CC}">
              <c16:uniqueId val="{00000000-9858-4501-84C1-9ED6EFD478B1}"/>
            </c:ext>
          </c:extLst>
        </c:ser>
        <c:ser>
          <c:idx val="1"/>
          <c:order val="1"/>
          <c:tx>
            <c:strRef>
              <c:f>Sheet3!$AE$22</c:f>
              <c:strCache>
                <c:ptCount val="1"/>
                <c:pt idx="0">
                  <c:v>Low Price</c:v>
                </c:pt>
              </c:strCache>
            </c:strRef>
          </c:tx>
          <c:spPr>
            <a:ln w="38100" cap="rnd">
              <a:noFill/>
              <a:round/>
            </a:ln>
            <a:effectLst/>
          </c:spPr>
          <c:marker>
            <c:symbol val="none"/>
          </c:marker>
          <c:cat>
            <c:numRef>
              <c:f>Sheet3!$AB$23:$AB$33</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Sheet3!$AE$23:$AE$33</c:f>
              <c:numCache>
                <c:formatCode>m/d/yyyy</c:formatCode>
                <c:ptCount val="11"/>
                <c:pt idx="0">
                  <c:v>46118</c:v>
                </c:pt>
                <c:pt idx="1">
                  <c:v>46140</c:v>
                </c:pt>
                <c:pt idx="2">
                  <c:v>46146</c:v>
                </c:pt>
                <c:pt idx="3">
                  <c:v>46132</c:v>
                </c:pt>
                <c:pt idx="4">
                  <c:v>46142</c:v>
                </c:pt>
                <c:pt idx="5">
                  <c:v>46133</c:v>
                </c:pt>
                <c:pt idx="6">
                  <c:v>46150</c:v>
                </c:pt>
                <c:pt idx="7">
                  <c:v>46160</c:v>
                </c:pt>
                <c:pt idx="8">
                  <c:v>46162</c:v>
                </c:pt>
                <c:pt idx="9">
                  <c:v>46155</c:v>
                </c:pt>
                <c:pt idx="10">
                  <c:v>46171</c:v>
                </c:pt>
              </c:numCache>
            </c:numRef>
          </c:val>
          <c:smooth val="0"/>
          <c:extLst>
            <c:ext xmlns:c16="http://schemas.microsoft.com/office/drawing/2014/chart" uri="{C3380CC4-5D6E-409C-BE32-E72D297353CC}">
              <c16:uniqueId val="{00000001-9858-4501-84C1-9ED6EFD478B1}"/>
            </c:ext>
          </c:extLst>
        </c:ser>
        <c:ser>
          <c:idx val="2"/>
          <c:order val="2"/>
          <c:tx>
            <c:strRef>
              <c:f>Sheet3!$AF$22</c:f>
              <c:strCache>
                <c:ptCount val="1"/>
                <c:pt idx="0">
                  <c:v>Closing Price</c:v>
                </c:pt>
              </c:strCache>
            </c:strRef>
          </c:tx>
          <c:spPr>
            <a:ln w="38100" cap="rnd">
              <a:noFill/>
              <a:round/>
            </a:ln>
            <a:effectLst/>
          </c:spPr>
          <c:marker>
            <c:symbol val="none"/>
          </c:marker>
          <c:cat>
            <c:numRef>
              <c:f>Sheet3!$AB$23:$AB$33</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Sheet3!$AF$23:$AF$33</c:f>
              <c:numCache>
                <c:formatCode>m/d/yyyy</c:formatCode>
                <c:ptCount val="11"/>
                <c:pt idx="0">
                  <c:v>46118</c:v>
                </c:pt>
                <c:pt idx="1">
                  <c:v>46160.5</c:v>
                </c:pt>
                <c:pt idx="2">
                  <c:v>46153</c:v>
                </c:pt>
                <c:pt idx="3">
                  <c:v>46139.5</c:v>
                </c:pt>
                <c:pt idx="4">
                  <c:v>46146</c:v>
                </c:pt>
                <c:pt idx="5">
                  <c:v>46141.5</c:v>
                </c:pt>
                <c:pt idx="6">
                  <c:v>46152.5</c:v>
                </c:pt>
                <c:pt idx="7">
                  <c:v>46161</c:v>
                </c:pt>
                <c:pt idx="8">
                  <c:v>46166.5</c:v>
                </c:pt>
                <c:pt idx="9">
                  <c:v>46158</c:v>
                </c:pt>
                <c:pt idx="10">
                  <c:v>46177.5</c:v>
                </c:pt>
              </c:numCache>
            </c:numRef>
          </c:val>
          <c:smooth val="0"/>
          <c:extLst>
            <c:ext xmlns:c16="http://schemas.microsoft.com/office/drawing/2014/chart" uri="{C3380CC4-5D6E-409C-BE32-E72D297353CC}">
              <c16:uniqueId val="{00000002-9858-4501-84C1-9ED6EFD478B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097427896"/>
        <c:axId val="1097428616"/>
      </c:stockChart>
      <c:dateAx>
        <c:axId val="109742789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28616"/>
        <c:crosses val="autoZero"/>
        <c:auto val="1"/>
        <c:lblOffset val="100"/>
        <c:baseTimeUnit val="days"/>
      </c:dateAx>
      <c:valAx>
        <c:axId val="1097428616"/>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27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1"/>
          <c:order val="0"/>
          <c:tx>
            <c:strRef>
              <c:f>Sheet3!$AD$22</c:f>
              <c:strCache>
                <c:ptCount val="1"/>
                <c:pt idx="0">
                  <c:v>High Price</c:v>
                </c:pt>
              </c:strCache>
            </c:strRef>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Sheet3!$AB$40:$AL$40</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Sheet3!$AD$23:$AD$33</c:f>
              <c:numCache>
                <c:formatCode>m/d/yyyy</c:formatCode>
                <c:ptCount val="11"/>
                <c:pt idx="0">
                  <c:v>46118</c:v>
                </c:pt>
                <c:pt idx="1">
                  <c:v>46181</c:v>
                </c:pt>
                <c:pt idx="2">
                  <c:v>46160</c:v>
                </c:pt>
                <c:pt idx="3">
                  <c:v>46147</c:v>
                </c:pt>
                <c:pt idx="4">
                  <c:v>46150</c:v>
                </c:pt>
                <c:pt idx="5">
                  <c:v>46150</c:v>
                </c:pt>
                <c:pt idx="6">
                  <c:v>46155</c:v>
                </c:pt>
                <c:pt idx="7">
                  <c:v>46162</c:v>
                </c:pt>
                <c:pt idx="8">
                  <c:v>46171</c:v>
                </c:pt>
                <c:pt idx="9">
                  <c:v>46161</c:v>
                </c:pt>
                <c:pt idx="10">
                  <c:v>46184</c:v>
                </c:pt>
              </c:numCache>
            </c:numRef>
          </c:val>
          <c:smooth val="0"/>
          <c:extLst>
            <c:ext xmlns:c16="http://schemas.microsoft.com/office/drawing/2014/chart" uri="{C3380CC4-5D6E-409C-BE32-E72D297353CC}">
              <c16:uniqueId val="{00000001-22D9-4516-AFA4-FC2806640A61}"/>
            </c:ext>
          </c:extLst>
        </c:ser>
        <c:ser>
          <c:idx val="2"/>
          <c:order val="1"/>
          <c:tx>
            <c:strRef>
              <c:f>Sheet3!$AE$22</c:f>
              <c:strCache>
                <c:ptCount val="1"/>
                <c:pt idx="0">
                  <c:v>Low Price</c:v>
                </c:pt>
              </c:strCache>
            </c:strRef>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Sheet3!$AB$40:$AL$40</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Sheet3!$AE$23:$AE$33</c:f>
              <c:numCache>
                <c:formatCode>m/d/yyyy</c:formatCode>
                <c:ptCount val="11"/>
                <c:pt idx="0">
                  <c:v>46118</c:v>
                </c:pt>
                <c:pt idx="1">
                  <c:v>46140</c:v>
                </c:pt>
                <c:pt idx="2">
                  <c:v>46146</c:v>
                </c:pt>
                <c:pt idx="3">
                  <c:v>46132</c:v>
                </c:pt>
                <c:pt idx="4">
                  <c:v>46142</c:v>
                </c:pt>
                <c:pt idx="5">
                  <c:v>46133</c:v>
                </c:pt>
                <c:pt idx="6">
                  <c:v>46150</c:v>
                </c:pt>
                <c:pt idx="7">
                  <c:v>46160</c:v>
                </c:pt>
                <c:pt idx="8">
                  <c:v>46162</c:v>
                </c:pt>
                <c:pt idx="9">
                  <c:v>46155</c:v>
                </c:pt>
                <c:pt idx="10">
                  <c:v>46171</c:v>
                </c:pt>
              </c:numCache>
            </c:numRef>
          </c:val>
          <c:smooth val="0"/>
          <c:extLst>
            <c:ext xmlns:c16="http://schemas.microsoft.com/office/drawing/2014/chart" uri="{C3380CC4-5D6E-409C-BE32-E72D297353CC}">
              <c16:uniqueId val="{00000002-22D9-4516-AFA4-FC2806640A61}"/>
            </c:ext>
          </c:extLst>
        </c:ser>
        <c:ser>
          <c:idx val="3"/>
          <c:order val="2"/>
          <c:tx>
            <c:strRef>
              <c:f>Sheet3!$AF$22</c:f>
              <c:strCache>
                <c:ptCount val="1"/>
                <c:pt idx="0">
                  <c:v>Closing Price</c:v>
                </c:pt>
              </c:strCache>
            </c:strRef>
          </c:tx>
          <c:spPr>
            <a:ln w="25400" cap="rnd">
              <a:solidFill>
                <a:schemeClr val="accent1">
                  <a:lumMod val="40000"/>
                  <a:lumOff val="60000"/>
                </a:schemeClr>
              </a:solidFill>
              <a:round/>
            </a:ln>
            <a:effectLst/>
          </c:spPr>
          <c:marker>
            <c:symbol val="dot"/>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movingAvg"/>
            <c:period val="2"/>
            <c:dispRSqr val="0"/>
            <c:dispEq val="0"/>
          </c:trendline>
          <c:cat>
            <c:numRef>
              <c:f>Sheet3!$AB$40:$AL$40</c:f>
              <c:numCache>
                <c:formatCode>m/d/yyyy</c:formatCode>
                <c:ptCount val="11"/>
                <c:pt idx="0">
                  <c:v>45889</c:v>
                </c:pt>
                <c:pt idx="1">
                  <c:v>45908</c:v>
                </c:pt>
                <c:pt idx="2">
                  <c:v>45915</c:v>
                </c:pt>
                <c:pt idx="3">
                  <c:v>45919</c:v>
                </c:pt>
                <c:pt idx="4">
                  <c:v>45923</c:v>
                </c:pt>
                <c:pt idx="5">
                  <c:v>45924</c:v>
                </c:pt>
                <c:pt idx="6">
                  <c:v>45926</c:v>
                </c:pt>
                <c:pt idx="7">
                  <c:v>45929</c:v>
                </c:pt>
                <c:pt idx="8">
                  <c:v>45930</c:v>
                </c:pt>
                <c:pt idx="9">
                  <c:v>45931</c:v>
                </c:pt>
                <c:pt idx="10">
                  <c:v>45937</c:v>
                </c:pt>
              </c:numCache>
            </c:numRef>
          </c:cat>
          <c:val>
            <c:numRef>
              <c:f>Sheet3!$AF$23:$AF$33</c:f>
              <c:numCache>
                <c:formatCode>m/d/yyyy</c:formatCode>
                <c:ptCount val="11"/>
                <c:pt idx="0">
                  <c:v>46118</c:v>
                </c:pt>
                <c:pt idx="1">
                  <c:v>46160.5</c:v>
                </c:pt>
                <c:pt idx="2">
                  <c:v>46153</c:v>
                </c:pt>
                <c:pt idx="3">
                  <c:v>46139.5</c:v>
                </c:pt>
                <c:pt idx="4">
                  <c:v>46146</c:v>
                </c:pt>
                <c:pt idx="5">
                  <c:v>46141.5</c:v>
                </c:pt>
                <c:pt idx="6">
                  <c:v>46152.5</c:v>
                </c:pt>
                <c:pt idx="7">
                  <c:v>46161</c:v>
                </c:pt>
                <c:pt idx="8">
                  <c:v>46166.5</c:v>
                </c:pt>
                <c:pt idx="9">
                  <c:v>46158</c:v>
                </c:pt>
                <c:pt idx="10">
                  <c:v>46177.5</c:v>
                </c:pt>
              </c:numCache>
            </c:numRef>
          </c:val>
          <c:smooth val="0"/>
          <c:extLst>
            <c:ext xmlns:c16="http://schemas.microsoft.com/office/drawing/2014/chart" uri="{C3380CC4-5D6E-409C-BE32-E72D297353CC}">
              <c16:uniqueId val="{00000003-22D9-4516-AFA4-FC2806640A61}"/>
            </c:ext>
          </c:extLst>
        </c:ser>
        <c:dLbls>
          <c:showLegendKey val="0"/>
          <c:showVal val="1"/>
          <c:showCatName val="0"/>
          <c:showSerName val="0"/>
          <c:showPercent val="0"/>
          <c:showBubbleSize val="0"/>
        </c:dLbls>
        <c:hiLowLines>
          <c:spPr>
            <a:ln w="15875" cap="flat" cmpd="sng" algn="ctr">
              <a:solidFill>
                <a:schemeClr val="tx1">
                  <a:lumMod val="75000"/>
                  <a:lumOff val="25000"/>
                </a:schemeClr>
              </a:solidFill>
              <a:round/>
            </a:ln>
            <a:effectLst/>
          </c:spPr>
        </c:hiLowLines>
        <c:axId val="569784216"/>
        <c:axId val="569782056"/>
      </c:stockChart>
      <c:dateAx>
        <c:axId val="56978421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82056"/>
        <c:crosses val="autoZero"/>
        <c:auto val="1"/>
        <c:lblOffset val="100"/>
        <c:baseTimeUnit val="days"/>
      </c:dateAx>
      <c:valAx>
        <c:axId val="569782056"/>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84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Sheet3!$Y$100</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intercept val="0"/>
            <c:dispRSqr val="0"/>
            <c:dispEq val="1"/>
            <c:trendlineLbl>
              <c:layout>
                <c:manualLayout>
                  <c:x val="-0.33104827297998568"/>
                  <c:y val="3.1125347778342034E-2"/>
                </c:manualLayout>
              </c:layout>
              <c:numFmt formatCode="#,##0.00000000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x"/>
            <c:errBarType val="both"/>
            <c:errValType val="fixedVal"/>
            <c:noEndCap val="0"/>
            <c:val val="0.1"/>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Sheet3!$X$101:$X$117</c:f>
              <c:numCache>
                <c:formatCode>0.00</c:formatCode>
                <c:ptCount val="17"/>
                <c:pt idx="0">
                  <c:v>45889</c:v>
                </c:pt>
                <c:pt idx="1">
                  <c:v>45908</c:v>
                </c:pt>
                <c:pt idx="2">
                  <c:v>45915</c:v>
                </c:pt>
                <c:pt idx="3">
                  <c:v>45919</c:v>
                </c:pt>
                <c:pt idx="4">
                  <c:v>45923</c:v>
                </c:pt>
                <c:pt idx="5">
                  <c:v>45924</c:v>
                </c:pt>
                <c:pt idx="6">
                  <c:v>45926</c:v>
                </c:pt>
                <c:pt idx="7">
                  <c:v>45929</c:v>
                </c:pt>
                <c:pt idx="8">
                  <c:v>45930</c:v>
                </c:pt>
                <c:pt idx="9">
                  <c:v>45931</c:v>
                </c:pt>
                <c:pt idx="10">
                  <c:v>45937</c:v>
                </c:pt>
                <c:pt idx="11">
                  <c:v>45945</c:v>
                </c:pt>
                <c:pt idx="12">
                  <c:v>45958</c:v>
                </c:pt>
                <c:pt idx="13">
                  <c:v>45968</c:v>
                </c:pt>
                <c:pt idx="14">
                  <c:v>45971</c:v>
                </c:pt>
                <c:pt idx="15">
                  <c:v>45973</c:v>
                </c:pt>
                <c:pt idx="16">
                  <c:v>45975</c:v>
                </c:pt>
              </c:numCache>
            </c:numRef>
          </c:xVal>
          <c:yVal>
            <c:numRef>
              <c:f>Sheet3!$Y$101:$Y$117</c:f>
              <c:numCache>
                <c:formatCode>0.00</c:formatCode>
                <c:ptCount val="17"/>
                <c:pt idx="0">
                  <c:v>45676</c:v>
                </c:pt>
                <c:pt idx="1">
                  <c:v>45690</c:v>
                </c:pt>
                <c:pt idx="2">
                  <c:v>45698</c:v>
                </c:pt>
                <c:pt idx="3">
                  <c:v>45707</c:v>
                </c:pt>
                <c:pt idx="4">
                  <c:v>45709</c:v>
                </c:pt>
                <c:pt idx="5">
                  <c:v>45712</c:v>
                </c:pt>
                <c:pt idx="6">
                  <c:v>45712</c:v>
                </c:pt>
                <c:pt idx="7">
                  <c:v>45712</c:v>
                </c:pt>
                <c:pt idx="8">
                  <c:v>45712</c:v>
                </c:pt>
                <c:pt idx="9">
                  <c:v>45716</c:v>
                </c:pt>
                <c:pt idx="10">
                  <c:v>45718</c:v>
                </c:pt>
                <c:pt idx="11">
                  <c:v>45725</c:v>
                </c:pt>
                <c:pt idx="12">
                  <c:v>45739</c:v>
                </c:pt>
                <c:pt idx="13">
                  <c:v>45746</c:v>
                </c:pt>
                <c:pt idx="14">
                  <c:v>45752</c:v>
                </c:pt>
                <c:pt idx="15">
                  <c:v>45753</c:v>
                </c:pt>
                <c:pt idx="16">
                  <c:v>45755</c:v>
                </c:pt>
              </c:numCache>
            </c:numRef>
          </c:yVal>
          <c:smooth val="0"/>
          <c:extLst>
            <c:ext xmlns:c16="http://schemas.microsoft.com/office/drawing/2014/chart" uri="{C3380CC4-5D6E-409C-BE32-E72D297353CC}">
              <c16:uniqueId val="{00000000-55F5-42C4-84FB-48AAC1D244BA}"/>
            </c:ext>
          </c:extLst>
        </c:ser>
        <c:dLbls>
          <c:dLblPos val="t"/>
          <c:showLegendKey val="0"/>
          <c:showVal val="1"/>
          <c:showCatName val="0"/>
          <c:showSerName val="0"/>
          <c:showPercent val="0"/>
          <c:showBubbleSize val="0"/>
        </c:dLbls>
        <c:axId val="102561816"/>
        <c:axId val="102562176"/>
      </c:scatterChart>
      <c:valAx>
        <c:axId val="1025618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2176"/>
        <c:crosses val="autoZero"/>
        <c:crossBetween val="midCat"/>
      </c:valAx>
      <c:valAx>
        <c:axId val="10256217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1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Sheet3!$X$133</c:f>
              <c:strCache>
                <c:ptCount val="1"/>
                <c:pt idx="0">
                  <c:v>Date Called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0"/>
            <c:dispEq val="1"/>
            <c:trendlineLbl>
              <c:layout>
                <c:manualLayout>
                  <c:x val="-0.34026162947420036"/>
                  <c:y val="7.8308961261755919E-2"/>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Sheet3!$W$134:$W$154</c:f>
              <c:numCache>
                <c:formatCode>0.00</c:formatCode>
                <c:ptCount val="21"/>
                <c:pt idx="0">
                  <c:v>45676</c:v>
                </c:pt>
                <c:pt idx="1">
                  <c:v>45690</c:v>
                </c:pt>
                <c:pt idx="2">
                  <c:v>45698</c:v>
                </c:pt>
                <c:pt idx="3">
                  <c:v>45707</c:v>
                </c:pt>
                <c:pt idx="4">
                  <c:v>45709</c:v>
                </c:pt>
                <c:pt idx="5">
                  <c:v>45712</c:v>
                </c:pt>
                <c:pt idx="6">
                  <c:v>45712</c:v>
                </c:pt>
                <c:pt idx="7">
                  <c:v>45712</c:v>
                </c:pt>
                <c:pt idx="8">
                  <c:v>45712</c:v>
                </c:pt>
                <c:pt idx="9">
                  <c:v>45716</c:v>
                </c:pt>
                <c:pt idx="10">
                  <c:v>45718</c:v>
                </c:pt>
                <c:pt idx="11">
                  <c:v>45725</c:v>
                </c:pt>
                <c:pt idx="12">
                  <c:v>45739</c:v>
                </c:pt>
                <c:pt idx="13">
                  <c:v>45746</c:v>
                </c:pt>
                <c:pt idx="14">
                  <c:v>45752</c:v>
                </c:pt>
                <c:pt idx="15">
                  <c:v>45753</c:v>
                </c:pt>
                <c:pt idx="16">
                  <c:v>45755</c:v>
                </c:pt>
                <c:pt idx="17">
                  <c:v>45764</c:v>
                </c:pt>
                <c:pt idx="18">
                  <c:v>45822</c:v>
                </c:pt>
                <c:pt idx="19">
                  <c:v>45831</c:v>
                </c:pt>
                <c:pt idx="20">
                  <c:v>45846</c:v>
                </c:pt>
              </c:numCache>
            </c:numRef>
          </c:xVal>
          <c:yVal>
            <c:numRef>
              <c:f>Sheet3!$X$134:$X$154</c:f>
              <c:numCache>
                <c:formatCode>0.00</c:formatCode>
                <c:ptCount val="21"/>
                <c:pt idx="0">
                  <c:v>45889</c:v>
                </c:pt>
                <c:pt idx="1">
                  <c:v>45908</c:v>
                </c:pt>
                <c:pt idx="2">
                  <c:v>45915</c:v>
                </c:pt>
                <c:pt idx="3">
                  <c:v>45919</c:v>
                </c:pt>
                <c:pt idx="4">
                  <c:v>45923</c:v>
                </c:pt>
                <c:pt idx="5">
                  <c:v>45924</c:v>
                </c:pt>
                <c:pt idx="6">
                  <c:v>45926</c:v>
                </c:pt>
                <c:pt idx="7">
                  <c:v>45929</c:v>
                </c:pt>
                <c:pt idx="8">
                  <c:v>45930</c:v>
                </c:pt>
                <c:pt idx="9">
                  <c:v>45931</c:v>
                </c:pt>
                <c:pt idx="10">
                  <c:v>45937</c:v>
                </c:pt>
                <c:pt idx="11">
                  <c:v>45945</c:v>
                </c:pt>
                <c:pt idx="12">
                  <c:v>45958</c:v>
                </c:pt>
                <c:pt idx="13">
                  <c:v>45968</c:v>
                </c:pt>
                <c:pt idx="14">
                  <c:v>45971</c:v>
                </c:pt>
                <c:pt idx="15">
                  <c:v>45973</c:v>
                </c:pt>
                <c:pt idx="16">
                  <c:v>45975</c:v>
                </c:pt>
                <c:pt idx="17">
                  <c:v>45985</c:v>
                </c:pt>
                <c:pt idx="18">
                  <c:v>46056</c:v>
                </c:pt>
                <c:pt idx="19">
                  <c:v>46058</c:v>
                </c:pt>
                <c:pt idx="20">
                  <c:v>46080</c:v>
                </c:pt>
              </c:numCache>
            </c:numRef>
          </c:yVal>
          <c:smooth val="0"/>
          <c:extLst>
            <c:ext xmlns:c16="http://schemas.microsoft.com/office/drawing/2014/chart" uri="{C3380CC4-5D6E-409C-BE32-E72D297353CC}">
              <c16:uniqueId val="{00000000-BAE7-41BE-AFD4-45696AC62064}"/>
            </c:ext>
          </c:extLst>
        </c:ser>
        <c:dLbls>
          <c:showLegendKey val="0"/>
          <c:showVal val="0"/>
          <c:showCatName val="0"/>
          <c:showSerName val="0"/>
          <c:showPercent val="0"/>
          <c:showBubbleSize val="0"/>
        </c:dLbls>
        <c:axId val="542299848"/>
        <c:axId val="542300208"/>
      </c:scatterChart>
      <c:valAx>
        <c:axId val="542299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00208"/>
        <c:crosses val="autoZero"/>
        <c:crossBetween val="midCat"/>
      </c:valAx>
      <c:valAx>
        <c:axId val="542300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998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Aptos Narrow" panose="02110004020202020204"/>
            </a:rPr>
            <a:t>Chart Title</a:t>
          </a:r>
        </a:p>
      </cx:txPr>
    </cx:title>
    <cx:plotArea>
      <cx:plotAreaRegion>
        <cx:series layoutId="boxWhisker" uniqueId="{3470C9F6-0838-4827-A894-AE30F257B34F}">
          <cx:tx>
            <cx:txData>
              <cx:f>_xlchart.v1.1</cx:f>
              <cx:v>Expected date 1</cx:v>
            </cx:txData>
          </cx:tx>
          <cx:dataId val="0"/>
          <cx:layoutPr>
            <cx:visibility meanLine="0" meanMarker="1" nonoutliers="0" outliers="1"/>
            <cx:statistics quartileMethod="exclusive"/>
          </cx:layoutPr>
        </cx:series>
        <cx:series layoutId="boxWhisker" uniqueId="{B16D2C70-2BE6-4184-81FC-807F36584E61}">
          <cx:tx>
            <cx:txData>
              <cx:f>_xlchart.v1.3</cx:f>
              <cx:v>Expected date 2</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71438</xdr:colOff>
      <xdr:row>57</xdr:row>
      <xdr:rowOff>119063</xdr:rowOff>
    </xdr:from>
    <xdr:to>
      <xdr:col>14</xdr:col>
      <xdr:colOff>15612</xdr:colOff>
      <xdr:row>85</xdr:row>
      <xdr:rowOff>24872</xdr:rowOff>
    </xdr:to>
    <xdr:graphicFrame macro="">
      <xdr:nvGraphicFramePr>
        <xdr:cNvPr id="2" name="Chart 1">
          <a:extLst>
            <a:ext uri="{FF2B5EF4-FFF2-40B4-BE49-F238E27FC236}">
              <a16:creationId xmlns:a16="http://schemas.microsoft.com/office/drawing/2014/main" id="{1567C061-3F1D-4851-A00A-67155931C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1012030</xdr:colOff>
      <xdr:row>105</xdr:row>
      <xdr:rowOff>51196</xdr:rowOff>
    </xdr:from>
    <xdr:to>
      <xdr:col>13</xdr:col>
      <xdr:colOff>833437</xdr:colOff>
      <xdr:row>132</xdr:row>
      <xdr:rowOff>130969</xdr:rowOff>
    </xdr:to>
    <xdr:graphicFrame macro="">
      <xdr:nvGraphicFramePr>
        <xdr:cNvPr id="3" name="Chart 2">
          <a:extLst>
            <a:ext uri="{FF2B5EF4-FFF2-40B4-BE49-F238E27FC236}">
              <a16:creationId xmlns:a16="http://schemas.microsoft.com/office/drawing/2014/main" id="{6B09CE47-170B-E574-B317-CA806DAE7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495300</xdr:colOff>
      <xdr:row>10</xdr:row>
      <xdr:rowOff>52387</xdr:rowOff>
    </xdr:from>
    <xdr:to>
      <xdr:col>17</xdr:col>
      <xdr:colOff>19050</xdr:colOff>
      <xdr:row>24</xdr:row>
      <xdr:rowOff>128587</xdr:rowOff>
    </xdr:to>
    <xdr:graphicFrame macro="">
      <xdr:nvGraphicFramePr>
        <xdr:cNvPr id="3" name="Chart 2">
          <a:extLst>
            <a:ext uri="{FF2B5EF4-FFF2-40B4-BE49-F238E27FC236}">
              <a16:creationId xmlns:a16="http://schemas.microsoft.com/office/drawing/2014/main" id="{45747F05-69BB-00DC-C40D-7F8B6E6F5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252412</xdr:colOff>
      <xdr:row>8</xdr:row>
      <xdr:rowOff>42862</xdr:rowOff>
    </xdr:from>
    <xdr:to>
      <xdr:col>15</xdr:col>
      <xdr:colOff>338137</xdr:colOff>
      <xdr:row>22</xdr:row>
      <xdr:rowOff>119062</xdr:rowOff>
    </xdr:to>
    <xdr:graphicFrame macro="">
      <xdr:nvGraphicFramePr>
        <xdr:cNvPr id="14" name="Chart 13">
          <a:extLst>
            <a:ext uri="{FF2B5EF4-FFF2-40B4-BE49-F238E27FC236}">
              <a16:creationId xmlns:a16="http://schemas.microsoft.com/office/drawing/2014/main" id="{4A5EB3D9-3822-24FF-1FF7-6DBA0E401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352424</xdr:colOff>
      <xdr:row>0</xdr:row>
      <xdr:rowOff>271462</xdr:rowOff>
    </xdr:from>
    <xdr:to>
      <xdr:col>35</xdr:col>
      <xdr:colOff>333374</xdr:colOff>
      <xdr:row>14</xdr:row>
      <xdr:rowOff>157162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557EB9D-FEBA-897C-9C63-AB9B986CB0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639674" y="271462"/>
              <a:ext cx="117729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438150</xdr:colOff>
      <xdr:row>5</xdr:row>
      <xdr:rowOff>52387</xdr:rowOff>
    </xdr:from>
    <xdr:to>
      <xdr:col>30</xdr:col>
      <xdr:colOff>66675</xdr:colOff>
      <xdr:row>19</xdr:row>
      <xdr:rowOff>128587</xdr:rowOff>
    </xdr:to>
    <xdr:graphicFrame macro="">
      <xdr:nvGraphicFramePr>
        <xdr:cNvPr id="5" name="Chart 4">
          <a:extLst>
            <a:ext uri="{FF2B5EF4-FFF2-40B4-BE49-F238E27FC236}">
              <a16:creationId xmlns:a16="http://schemas.microsoft.com/office/drawing/2014/main" id="{EBB24B9D-237B-C4DA-5523-B5A964B22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361950</xdr:colOff>
      <xdr:row>40</xdr:row>
      <xdr:rowOff>23811</xdr:rowOff>
    </xdr:from>
    <xdr:to>
      <xdr:col>40</xdr:col>
      <xdr:colOff>419100</xdr:colOff>
      <xdr:row>79</xdr:row>
      <xdr:rowOff>161925</xdr:rowOff>
    </xdr:to>
    <xdr:graphicFrame macro="">
      <xdr:nvGraphicFramePr>
        <xdr:cNvPr id="6" name="Chart 5">
          <a:extLst>
            <a:ext uri="{FF2B5EF4-FFF2-40B4-BE49-F238E27FC236}">
              <a16:creationId xmlns:a16="http://schemas.microsoft.com/office/drawing/2014/main" id="{CCF0F1DA-7A6A-8295-5EDF-728282698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317500</xdr:colOff>
      <xdr:row>91</xdr:row>
      <xdr:rowOff>137584</xdr:rowOff>
    </xdr:from>
    <xdr:to>
      <xdr:col>38</xdr:col>
      <xdr:colOff>158750</xdr:colOff>
      <xdr:row>123</xdr:row>
      <xdr:rowOff>31750</xdr:rowOff>
    </xdr:to>
    <xdr:graphicFrame macro="">
      <xdr:nvGraphicFramePr>
        <xdr:cNvPr id="3" name="Chart 2">
          <a:extLst>
            <a:ext uri="{FF2B5EF4-FFF2-40B4-BE49-F238E27FC236}">
              <a16:creationId xmlns:a16="http://schemas.microsoft.com/office/drawing/2014/main" id="{B786B4A3-9CA2-48D9-04D7-7F566285C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26458</xdr:colOff>
      <xdr:row>123</xdr:row>
      <xdr:rowOff>42331</xdr:rowOff>
    </xdr:from>
    <xdr:to>
      <xdr:col>41</xdr:col>
      <xdr:colOff>568325</xdr:colOff>
      <xdr:row>150</xdr:row>
      <xdr:rowOff>138640</xdr:rowOff>
    </xdr:to>
    <xdr:graphicFrame macro="">
      <xdr:nvGraphicFramePr>
        <xdr:cNvPr id="4" name="Chart 3">
          <a:extLst>
            <a:ext uri="{FF2B5EF4-FFF2-40B4-BE49-F238E27FC236}">
              <a16:creationId xmlns:a16="http://schemas.microsoft.com/office/drawing/2014/main" id="{743DFF55-1AD8-75D4-F078-C74771860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imula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atio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0294-A07C-4371-A065-E010791554EF}">
  <dimension ref="A1:AH177"/>
  <sheetViews>
    <sheetView tabSelected="1" topLeftCell="A14" zoomScaleNormal="100" workbookViewId="0">
      <selection activeCell="C32" sqref="C32"/>
    </sheetView>
  </sheetViews>
  <sheetFormatPr defaultRowHeight="15" x14ac:dyDescent="0.25"/>
  <cols>
    <col min="1" max="1" width="11.85546875" customWidth="1"/>
    <col min="2" max="3" width="12" customWidth="1"/>
    <col min="4" max="4" width="9.5703125" bestFit="1" customWidth="1"/>
    <col min="5" max="5" width="10.140625" customWidth="1"/>
    <col min="6" max="6" width="15.5703125" customWidth="1"/>
    <col min="7" max="7" width="15.5703125" bestFit="1" customWidth="1"/>
    <col min="8" max="8" width="16.7109375" customWidth="1"/>
    <col min="9" max="9" width="13" bestFit="1" customWidth="1"/>
    <col min="10" max="10" width="15.85546875" bestFit="1" customWidth="1"/>
    <col min="11" max="11" width="33.7109375" style="3" customWidth="1"/>
    <col min="12" max="12" width="32.28515625" style="4" customWidth="1"/>
    <col min="13" max="13" width="15.5703125" customWidth="1"/>
    <col min="14" max="14" width="16.7109375" customWidth="1"/>
    <col min="15" max="15" width="13.28515625" style="7" customWidth="1"/>
    <col min="16" max="16" width="3.42578125" style="7" customWidth="1"/>
    <col min="17" max="17" width="10.140625" style="7" customWidth="1"/>
    <col min="18" max="18" width="14.140625" style="7" customWidth="1"/>
    <col min="19" max="19" width="11.28515625" style="7" bestFit="1" customWidth="1"/>
    <col min="20" max="20" width="14.5703125" style="7" customWidth="1"/>
    <col min="21" max="22" width="9.140625" style="7"/>
    <col min="23" max="23" width="11.28515625" style="7" bestFit="1" customWidth="1"/>
    <col min="24" max="34" width="9.140625" style="7"/>
  </cols>
  <sheetData>
    <row r="1" spans="1:34" s="2" customFormat="1" ht="30" customHeight="1" x14ac:dyDescent="0.25">
      <c r="A1" s="34" t="s">
        <v>47</v>
      </c>
      <c r="B1" s="34" t="s">
        <v>45</v>
      </c>
      <c r="C1" s="34" t="s">
        <v>58</v>
      </c>
      <c r="D1" s="34" t="s">
        <v>2</v>
      </c>
      <c r="E1" s="34" t="s">
        <v>3</v>
      </c>
      <c r="F1" s="34" t="s">
        <v>4</v>
      </c>
      <c r="G1" s="34" t="s">
        <v>22</v>
      </c>
      <c r="H1" s="34" t="s">
        <v>21</v>
      </c>
      <c r="I1" s="34" t="s">
        <v>5</v>
      </c>
      <c r="J1" s="34" t="s">
        <v>9</v>
      </c>
      <c r="K1" s="34" t="s">
        <v>43</v>
      </c>
      <c r="L1" s="35" t="s">
        <v>44</v>
      </c>
      <c r="M1" s="7"/>
      <c r="N1" s="7"/>
      <c r="O1" s="7"/>
      <c r="P1" s="13"/>
      <c r="Q1" s="10"/>
      <c r="R1" s="10"/>
      <c r="S1" s="10"/>
      <c r="T1" s="10"/>
      <c r="U1" s="10"/>
      <c r="V1" s="10"/>
      <c r="W1" s="10"/>
      <c r="X1" s="10"/>
      <c r="Y1" s="10"/>
      <c r="Z1" s="10"/>
      <c r="AA1" s="10"/>
      <c r="AB1" s="10"/>
      <c r="AC1" s="10"/>
      <c r="AD1" s="10"/>
      <c r="AE1" s="10"/>
      <c r="AF1" s="10"/>
      <c r="AG1" s="10"/>
      <c r="AH1" s="10"/>
    </row>
    <row r="2" spans="1:34" x14ac:dyDescent="0.25">
      <c r="A2" s="1">
        <v>45889</v>
      </c>
      <c r="B2" s="1">
        <v>45676</v>
      </c>
      <c r="C2" s="1"/>
      <c r="J2">
        <f t="shared" ref="J2:J19" si="0">_xlfn.DAYS(A2,B2)</f>
        <v>213</v>
      </c>
      <c r="K2" s="3">
        <f>IFERROR(WORKDAY($A2, ROUNDUP(MAX(0, _xlfn.DAYS($A2, $B2)) / $I$40, 0),Sheet2!$A$2:$A$21),"")</f>
        <v>46120</v>
      </c>
      <c r="L2" s="3">
        <f>A2*1.00474635070856</f>
        <v>46106.805287665113</v>
      </c>
      <c r="M2" s="7"/>
      <c r="N2" s="7"/>
      <c r="P2" s="14"/>
    </row>
    <row r="3" spans="1:34" x14ac:dyDescent="0.25">
      <c r="A3" s="1">
        <v>45908</v>
      </c>
      <c r="B3" s="1">
        <v>45690</v>
      </c>
      <c r="C3" s="1"/>
      <c r="D3">
        <f>IF(B3="","",B3-B2)</f>
        <v>14</v>
      </c>
      <c r="E3">
        <f>IF(A3="","",NETWORKDAYS(A2,A3,Sheet2!$A$2:$A$21)-1)</f>
        <v>12</v>
      </c>
      <c r="F3">
        <f>D3/E3</f>
        <v>1.1666666666666667</v>
      </c>
      <c r="G3">
        <f>SUM($D$3:D3)</f>
        <v>14</v>
      </c>
      <c r="H3">
        <f>SUM($E$3:E3)</f>
        <v>12</v>
      </c>
      <c r="I3">
        <f>G3/H3</f>
        <v>1.1666666666666667</v>
      </c>
      <c r="J3">
        <f t="shared" si="0"/>
        <v>218</v>
      </c>
      <c r="K3" s="3">
        <f>IFERROR(WORKDAY($A3, ROUNDUP(MAX(0, _xlfn.DAYS($A3, $B3)) / $I$40, 0),Sheet2!$A$2:$A$21),"")</f>
        <v>46142</v>
      </c>
      <c r="L3" s="3">
        <f t="shared" ref="L3:L26" si="1">A3*1.00474635070856</f>
        <v>46125.895468328577</v>
      </c>
      <c r="M3" s="7"/>
      <c r="N3" s="7"/>
      <c r="P3" s="14"/>
    </row>
    <row r="4" spans="1:34" x14ac:dyDescent="0.25">
      <c r="A4" s="1">
        <v>45915</v>
      </c>
      <c r="B4" s="1">
        <v>45698</v>
      </c>
      <c r="C4" s="1"/>
      <c r="D4">
        <f t="shared" ref="D4:D26" si="2">IF(B4="","",B4-B3)</f>
        <v>8</v>
      </c>
      <c r="E4">
        <f>IF(A4="","",NETWORKDAYS(A3,A4,Sheet2!$A$2:$A$21)-1)</f>
        <v>5</v>
      </c>
      <c r="F4">
        <f t="shared" ref="F4:F39" si="3">D4/E4</f>
        <v>1.6</v>
      </c>
      <c r="G4">
        <f>SUM($D$3:D4)</f>
        <v>22</v>
      </c>
      <c r="H4">
        <f>SUM($E$3:E4)</f>
        <v>17</v>
      </c>
      <c r="I4">
        <f t="shared" ref="I4:I27" si="4">G4/H4</f>
        <v>1.2941176470588236</v>
      </c>
      <c r="J4">
        <f t="shared" si="0"/>
        <v>217</v>
      </c>
      <c r="K4" s="3">
        <f>IFERROR(WORKDAY($A4, ROUNDUP(MAX(0, _xlfn.DAYS($A4, $B4)) / $I$40, 0),Sheet2!$A$2:$A$21),"")</f>
        <v>46148</v>
      </c>
      <c r="L4" s="3">
        <f t="shared" si="1"/>
        <v>46132.928692783535</v>
      </c>
      <c r="M4" s="7"/>
      <c r="N4" s="7"/>
      <c r="P4" s="14"/>
    </row>
    <row r="5" spans="1:34" x14ac:dyDescent="0.25">
      <c r="A5" s="1">
        <v>45919</v>
      </c>
      <c r="B5" s="1">
        <v>45707</v>
      </c>
      <c r="C5" s="1"/>
      <c r="D5">
        <f t="shared" si="2"/>
        <v>9</v>
      </c>
      <c r="E5">
        <f>IF(A5="","",NETWORKDAYS(A4,A5,Sheet2!$A$2:$A$21)-1)</f>
        <v>4</v>
      </c>
      <c r="F5">
        <f t="shared" si="3"/>
        <v>2.25</v>
      </c>
      <c r="G5">
        <f>SUM($D$3:D5)</f>
        <v>31</v>
      </c>
      <c r="H5">
        <f>SUM($E$3:E5)</f>
        <v>21</v>
      </c>
      <c r="I5">
        <f t="shared" si="4"/>
        <v>1.4761904761904763</v>
      </c>
      <c r="J5">
        <f t="shared" si="0"/>
        <v>212</v>
      </c>
      <c r="K5" s="3">
        <f>IFERROR(WORKDAY($A5, ROUNDUP(MAX(0, _xlfn.DAYS($A5, $B5)) / $I$40, 0),Sheet2!$A$2:$A$21),"")</f>
        <v>46149</v>
      </c>
      <c r="L5" s="3">
        <f t="shared" si="1"/>
        <v>46136.94767818637</v>
      </c>
      <c r="M5" s="7"/>
      <c r="N5" s="7"/>
      <c r="P5" s="14"/>
    </row>
    <row r="6" spans="1:34" x14ac:dyDescent="0.25">
      <c r="A6" s="1">
        <v>45923</v>
      </c>
      <c r="B6" s="1">
        <v>45709</v>
      </c>
      <c r="C6" s="1"/>
      <c r="D6">
        <f t="shared" si="2"/>
        <v>2</v>
      </c>
      <c r="E6">
        <f>IF(A6="","",NETWORKDAYS(A5,A6,Sheet2!$A$2:$A$21)-1)</f>
        <v>2</v>
      </c>
      <c r="F6">
        <f t="shared" si="3"/>
        <v>1</v>
      </c>
      <c r="G6">
        <f>SUM($D$3:D6)</f>
        <v>33</v>
      </c>
      <c r="H6">
        <f>SUM($E$3:E6)</f>
        <v>23</v>
      </c>
      <c r="I6">
        <f t="shared" si="4"/>
        <v>1.4347826086956521</v>
      </c>
      <c r="J6">
        <f t="shared" si="0"/>
        <v>214</v>
      </c>
      <c r="K6" s="3">
        <f>IFERROR(WORKDAY($A6, ROUNDUP(MAX(0, _xlfn.DAYS($A6, $B6)) / $I$40, 0),Sheet2!$A$2:$A$21),"")</f>
        <v>46154</v>
      </c>
      <c r="L6" s="3">
        <f t="shared" si="1"/>
        <v>46140.966663589206</v>
      </c>
      <c r="M6" s="7"/>
      <c r="N6" s="7"/>
      <c r="P6" s="14"/>
    </row>
    <row r="7" spans="1:34" x14ac:dyDescent="0.25">
      <c r="A7" s="1">
        <v>45924</v>
      </c>
      <c r="B7" s="1">
        <v>45712</v>
      </c>
      <c r="C7" s="1"/>
      <c r="D7">
        <f t="shared" si="2"/>
        <v>3</v>
      </c>
      <c r="E7">
        <f>IF(A7="","",NETWORKDAYS(A6,A7,Sheet2!$A$2:$A$21)-1)</f>
        <v>1</v>
      </c>
      <c r="F7">
        <f t="shared" si="3"/>
        <v>3</v>
      </c>
      <c r="G7">
        <f>SUM($D$3:D7)</f>
        <v>36</v>
      </c>
      <c r="H7">
        <f>SUM($E$3:E7)</f>
        <v>24</v>
      </c>
      <c r="I7">
        <f t="shared" si="4"/>
        <v>1.5</v>
      </c>
      <c r="J7">
        <f t="shared" si="0"/>
        <v>212</v>
      </c>
      <c r="K7" s="3">
        <f>IFERROR(WORKDAY($A7, ROUNDUP(MAX(0, _xlfn.DAYS($A7, $B7)) / $I$40, 0),Sheet2!$A$2:$A$21),"")</f>
        <v>46154</v>
      </c>
      <c r="L7" s="3">
        <f t="shared" si="1"/>
        <v>46141.971409939913</v>
      </c>
      <c r="M7" s="7"/>
      <c r="N7" s="7"/>
      <c r="P7" s="14"/>
    </row>
    <row r="8" spans="1:34" ht="15.75" thickBot="1" x14ac:dyDescent="0.3">
      <c r="A8" s="1">
        <v>45926</v>
      </c>
      <c r="B8" s="1">
        <v>45712</v>
      </c>
      <c r="C8" s="1"/>
      <c r="D8">
        <v>0.5</v>
      </c>
      <c r="E8">
        <f>IF(A8="","",NETWORKDAYS(A7,A8,Sheet2!$A$2:$A$21)-1)</f>
        <v>2</v>
      </c>
      <c r="F8">
        <f t="shared" si="3"/>
        <v>0.25</v>
      </c>
      <c r="G8">
        <f>SUM($D$3:D8)</f>
        <v>36.5</v>
      </c>
      <c r="H8">
        <f>SUM($E$3:E8)</f>
        <v>26</v>
      </c>
      <c r="I8">
        <f t="shared" si="4"/>
        <v>1.4038461538461537</v>
      </c>
      <c r="J8">
        <f t="shared" si="0"/>
        <v>214</v>
      </c>
      <c r="K8" s="3">
        <f>IFERROR(WORKDAY($A8, ROUNDUP(MAX(0, _xlfn.DAYS($A8, $B8)) / $I$40, 0),Sheet2!$A$2:$A$21),"")</f>
        <v>46157</v>
      </c>
      <c r="L8" s="3">
        <f t="shared" si="1"/>
        <v>46143.980902641335</v>
      </c>
      <c r="M8" s="7"/>
      <c r="N8" s="7"/>
      <c r="P8" s="14"/>
    </row>
    <row r="9" spans="1:34" ht="16.5" thickBot="1" x14ac:dyDescent="0.3">
      <c r="A9" s="1">
        <v>45929</v>
      </c>
      <c r="B9" s="1">
        <v>45712</v>
      </c>
      <c r="C9" s="1"/>
      <c r="D9">
        <v>0.25</v>
      </c>
      <c r="E9">
        <f>IF(A9="","",NETWORKDAYS(A8,A9,Sheet2!$A$2:$A$21)-1)</f>
        <v>1</v>
      </c>
      <c r="F9">
        <f t="shared" si="3"/>
        <v>0.25</v>
      </c>
      <c r="G9">
        <f>SUM($D$3:D9)</f>
        <v>36.75</v>
      </c>
      <c r="H9">
        <f>SUM($E$3:E9)</f>
        <v>27</v>
      </c>
      <c r="I9">
        <f t="shared" si="4"/>
        <v>1.3611111111111112</v>
      </c>
      <c r="J9">
        <f t="shared" si="0"/>
        <v>217</v>
      </c>
      <c r="K9" s="3">
        <f>IFERROR(WORKDAY($A9, ROUNDUP(MAX(0, _xlfn.DAYS($A9, $B9)) / $I$40, 0),Sheet2!$A$2:$A$21),"")</f>
        <v>46162</v>
      </c>
      <c r="L9" s="3">
        <f t="shared" si="1"/>
        <v>46146.995141693456</v>
      </c>
      <c r="M9" s="48" t="s">
        <v>48</v>
      </c>
      <c r="N9" s="49"/>
      <c r="O9" s="50"/>
      <c r="P9" s="37"/>
    </row>
    <row r="10" spans="1:34" x14ac:dyDescent="0.25">
      <c r="A10" s="1">
        <v>45930</v>
      </c>
      <c r="B10" s="1">
        <v>45712</v>
      </c>
      <c r="C10" s="1"/>
      <c r="D10">
        <v>0.25</v>
      </c>
      <c r="E10">
        <f>IF(A10="","",NETWORKDAYS(A9,A10,Sheet2!$A$2:$A$21)-1)</f>
        <v>1</v>
      </c>
      <c r="F10">
        <f t="shared" si="3"/>
        <v>0.25</v>
      </c>
      <c r="G10">
        <f>SUM($D$3:D10)</f>
        <v>37</v>
      </c>
      <c r="H10">
        <f>SUM($E$3:E10)</f>
        <v>28</v>
      </c>
      <c r="I10">
        <f t="shared" si="4"/>
        <v>1.3214285714285714</v>
      </c>
      <c r="J10">
        <f t="shared" si="0"/>
        <v>218</v>
      </c>
      <c r="K10" s="3">
        <f>IFERROR(WORKDAY($A10, ROUNDUP(MAX(0, _xlfn.DAYS($A10, $B10)) / $I$40, 0),Sheet2!$A$2:$A$21),"")</f>
        <v>46164</v>
      </c>
      <c r="L10" s="36">
        <f t="shared" si="1"/>
        <v>46147.999888044164</v>
      </c>
      <c r="M10" s="17"/>
      <c r="N10" s="17"/>
      <c r="O10" s="38"/>
      <c r="P10" s="37"/>
    </row>
    <row r="11" spans="1:34" x14ac:dyDescent="0.25">
      <c r="A11" s="1">
        <v>45931</v>
      </c>
      <c r="B11" s="1">
        <v>45716</v>
      </c>
      <c r="C11" s="1"/>
      <c r="D11">
        <f t="shared" si="2"/>
        <v>4</v>
      </c>
      <c r="E11">
        <f>IF(A11="","",NETWORKDAYS(A10,A11,Sheet2!$A$2:$A$21)-1)</f>
        <v>1</v>
      </c>
      <c r="F11">
        <f t="shared" si="3"/>
        <v>4</v>
      </c>
      <c r="G11">
        <f>SUM($D$3:D11)</f>
        <v>41</v>
      </c>
      <c r="H11">
        <f>SUM($E$3:E11)</f>
        <v>29</v>
      </c>
      <c r="I11">
        <f t="shared" si="4"/>
        <v>1.4137931034482758</v>
      </c>
      <c r="J11">
        <f t="shared" si="0"/>
        <v>215</v>
      </c>
      <c r="K11" s="3">
        <f>IFERROR(WORKDAY($A11, ROUNDUP(MAX(0, _xlfn.DAYS($A11, $B11)) / $I$40, 0),Sheet2!$A$2:$A$21),"")</f>
        <v>46163</v>
      </c>
      <c r="L11" s="36">
        <f t="shared" si="1"/>
        <v>46149.004634394878</v>
      </c>
      <c r="M11" s="17"/>
      <c r="N11" s="41" t="s">
        <v>50</v>
      </c>
      <c r="O11" s="18"/>
      <c r="P11" s="37"/>
    </row>
    <row r="12" spans="1:34" x14ac:dyDescent="0.25">
      <c r="A12" s="1">
        <v>45937</v>
      </c>
      <c r="B12" s="1">
        <v>45718</v>
      </c>
      <c r="C12" s="1"/>
      <c r="D12">
        <f t="shared" si="2"/>
        <v>2</v>
      </c>
      <c r="E12">
        <f>IF(A12="","",NETWORKDAYS(A11,A12,Sheet2!$A$2:$A$21)-1)</f>
        <v>4</v>
      </c>
      <c r="F12">
        <f t="shared" si="3"/>
        <v>0.5</v>
      </c>
      <c r="G12">
        <f>SUM($D$3:D12)</f>
        <v>43</v>
      </c>
      <c r="H12">
        <f>SUM($E$3:E12)</f>
        <v>33</v>
      </c>
      <c r="I12">
        <f t="shared" si="4"/>
        <v>1.303030303030303</v>
      </c>
      <c r="J12">
        <f t="shared" si="0"/>
        <v>219</v>
      </c>
      <c r="K12" s="3">
        <f>IFERROR(WORKDAY($A12, ROUNDUP(MAX(0, _xlfn.DAYS($A12, $B12)) / $I$40, 0),Sheet2!$A$2:$A$21),"")</f>
        <v>46175</v>
      </c>
      <c r="L12" s="36">
        <f t="shared" si="1"/>
        <v>46155.033112499128</v>
      </c>
      <c r="M12" s="19"/>
      <c r="N12" s="29">
        <v>45828</v>
      </c>
      <c r="O12" s="39"/>
      <c r="P12" s="37"/>
      <c r="W12" s="11"/>
    </row>
    <row r="13" spans="1:34" x14ac:dyDescent="0.25">
      <c r="A13" s="1">
        <v>45945</v>
      </c>
      <c r="B13" s="1">
        <v>45725</v>
      </c>
      <c r="C13" s="1"/>
      <c r="D13">
        <f t="shared" si="2"/>
        <v>7</v>
      </c>
      <c r="E13">
        <f>IF(A13="","",NETWORKDAYS(A12,A13,Sheet2!$A$2:$A$21)-1)</f>
        <v>5</v>
      </c>
      <c r="F13">
        <f t="shared" si="3"/>
        <v>1.4</v>
      </c>
      <c r="G13">
        <f>SUM($D$3:D13)</f>
        <v>50</v>
      </c>
      <c r="H13">
        <f>SUM($E$3:E13)</f>
        <v>38</v>
      </c>
      <c r="I13">
        <f t="shared" si="4"/>
        <v>1.3157894736842106</v>
      </c>
      <c r="J13">
        <f t="shared" si="0"/>
        <v>220</v>
      </c>
      <c r="K13" s="3">
        <f>IFERROR(WORKDAY($A13, ROUNDUP(MAX(0, _xlfn.DAYS($A13, $B13)) / $I$40, 0),Sheet2!$A$2:$A$21),"")</f>
        <v>46183</v>
      </c>
      <c r="L13" s="36">
        <f t="shared" si="1"/>
        <v>46163.071083304792</v>
      </c>
      <c r="M13" s="19"/>
      <c r="N13" s="28" t="s">
        <v>59</v>
      </c>
      <c r="O13" s="40"/>
      <c r="P13" s="37"/>
    </row>
    <row r="14" spans="1:34" x14ac:dyDescent="0.25">
      <c r="A14" s="1">
        <v>45958</v>
      </c>
      <c r="B14" s="1">
        <v>45739</v>
      </c>
      <c r="C14" s="1"/>
      <c r="D14">
        <f t="shared" si="2"/>
        <v>14</v>
      </c>
      <c r="E14">
        <f>IF(A14="","",NETWORKDAYS(A13,A14,Sheet2!$A$2:$A$21)-1)</f>
        <v>9</v>
      </c>
      <c r="F14">
        <f t="shared" si="3"/>
        <v>1.5555555555555556</v>
      </c>
      <c r="G14">
        <f>SUM($D$3:D14)</f>
        <v>64</v>
      </c>
      <c r="H14">
        <f>SUM($E$3:E14)</f>
        <v>47</v>
      </c>
      <c r="I14">
        <f t="shared" si="4"/>
        <v>1.3617021276595744</v>
      </c>
      <c r="J14">
        <f t="shared" si="0"/>
        <v>219</v>
      </c>
      <c r="K14" s="3">
        <f>IFERROR(WORKDAY($A14, ROUNDUP(MAX(0, _xlfn.DAYS($A14, $B14)) / $I$40, 0),Sheet2!$A$2:$A$21),"")</f>
        <v>46195</v>
      </c>
      <c r="L14" s="36">
        <f t="shared" si="1"/>
        <v>46176.132785864007</v>
      </c>
      <c r="M14" s="51" t="s">
        <v>49</v>
      </c>
      <c r="N14" s="52"/>
      <c r="O14" s="53"/>
      <c r="P14" s="37"/>
    </row>
    <row r="15" spans="1:34" x14ac:dyDescent="0.25">
      <c r="A15" s="1">
        <v>45968</v>
      </c>
      <c r="B15" s="1">
        <v>45746</v>
      </c>
      <c r="C15" s="1"/>
      <c r="D15">
        <f t="shared" si="2"/>
        <v>7</v>
      </c>
      <c r="E15">
        <f>IF(A15="","",NETWORKDAYS(A14,A15,Sheet2!$A$2:$A$21)-1)</f>
        <v>8</v>
      </c>
      <c r="F15">
        <f t="shared" si="3"/>
        <v>0.875</v>
      </c>
      <c r="G15">
        <f>SUM($D$3:D15)</f>
        <v>71</v>
      </c>
      <c r="H15">
        <f>SUM($E$3:E15)</f>
        <v>55</v>
      </c>
      <c r="I15">
        <f t="shared" si="4"/>
        <v>1.290909090909091</v>
      </c>
      <c r="J15">
        <f t="shared" si="0"/>
        <v>222</v>
      </c>
      <c r="K15" s="3">
        <f>IFERROR(WORKDAY($A15, ROUNDUP(MAX(0, _xlfn.DAYS($A15, $B15)) / $I$40, 0),Sheet2!$A$2:$A$21),"")</f>
        <v>46210</v>
      </c>
      <c r="L15" s="36">
        <f t="shared" si="1"/>
        <v>46186.180249371093</v>
      </c>
      <c r="M15" s="51"/>
      <c r="N15" s="52"/>
      <c r="O15" s="53"/>
      <c r="P15" s="37"/>
    </row>
    <row r="16" spans="1:34" x14ac:dyDescent="0.25">
      <c r="A16" s="1">
        <v>45971</v>
      </c>
      <c r="B16" s="1">
        <v>45752</v>
      </c>
      <c r="C16" s="1"/>
      <c r="D16">
        <f t="shared" si="2"/>
        <v>6</v>
      </c>
      <c r="E16">
        <f>IF(A16="","",NETWORKDAYS(A15,A16,Sheet2!$A$2:$A$21)-1)</f>
        <v>1</v>
      </c>
      <c r="F16">
        <f t="shared" si="3"/>
        <v>6</v>
      </c>
      <c r="G16">
        <f>SUM($D$3:D16)</f>
        <v>77</v>
      </c>
      <c r="H16">
        <f>SUM($E$3:E16)</f>
        <v>56</v>
      </c>
      <c r="I16">
        <f t="shared" si="4"/>
        <v>1.375</v>
      </c>
      <c r="J16">
        <f t="shared" si="0"/>
        <v>219</v>
      </c>
      <c r="K16" s="3">
        <f>IFERROR(WORKDAY($A16, ROUNDUP(MAX(0, _xlfn.DAYS($A16, $B16)) / $I$40, 0),Sheet2!$A$2:$A$21),"")</f>
        <v>46209</v>
      </c>
      <c r="L16" s="36">
        <f t="shared" si="1"/>
        <v>46189.194488423214</v>
      </c>
      <c r="M16" s="17"/>
      <c r="N16" s="29">
        <f>(F92*N12)+F93</f>
        <v>46055.991095029036</v>
      </c>
      <c r="O16" s="18"/>
      <c r="P16" s="37"/>
      <c r="W16" s="11"/>
    </row>
    <row r="17" spans="1:19" x14ac:dyDescent="0.25">
      <c r="A17" s="1">
        <v>45973</v>
      </c>
      <c r="B17" s="1">
        <v>45753</v>
      </c>
      <c r="C17" s="1"/>
      <c r="D17">
        <f t="shared" si="2"/>
        <v>1</v>
      </c>
      <c r="E17">
        <f>IF(A17="","",NETWORKDAYS(A16,A17,Sheet2!$A$2:$A$21)-1)</f>
        <v>1</v>
      </c>
      <c r="F17">
        <f t="shared" si="3"/>
        <v>1</v>
      </c>
      <c r="G17">
        <f>SUM($D$3:D17)</f>
        <v>78</v>
      </c>
      <c r="H17">
        <f>SUM($E$3:E17)</f>
        <v>57</v>
      </c>
      <c r="I17">
        <f t="shared" si="4"/>
        <v>1.368421052631579</v>
      </c>
      <c r="J17">
        <f t="shared" si="0"/>
        <v>220</v>
      </c>
      <c r="K17" s="3">
        <f>IFERROR(WORKDAY($A17, ROUNDUP(MAX(0, _xlfn.DAYS($A17, $B17)) / $I$40, 0),Sheet2!$A$2:$A$21),"")</f>
        <v>46211</v>
      </c>
      <c r="L17" s="36">
        <f t="shared" si="1"/>
        <v>46191.203981124636</v>
      </c>
      <c r="M17" s="17"/>
      <c r="N17" s="30" t="s">
        <v>60</v>
      </c>
      <c r="O17" s="18"/>
      <c r="P17" s="37"/>
    </row>
    <row r="18" spans="1:19" ht="15.75" thickBot="1" x14ac:dyDescent="0.3">
      <c r="A18" s="1">
        <v>45975</v>
      </c>
      <c r="B18" s="1">
        <v>45755</v>
      </c>
      <c r="C18" s="1"/>
      <c r="D18">
        <f t="shared" si="2"/>
        <v>2</v>
      </c>
      <c r="E18">
        <f>IF(A18="","",NETWORKDAYS(A17,A18,Sheet2!$A$2:$A$21)-1)</f>
        <v>2</v>
      </c>
      <c r="F18">
        <f t="shared" si="3"/>
        <v>1</v>
      </c>
      <c r="G18">
        <f>SUM($D$3:D18)</f>
        <v>80</v>
      </c>
      <c r="H18">
        <f>SUM($E$3:E18)</f>
        <v>59</v>
      </c>
      <c r="I18">
        <f t="shared" si="4"/>
        <v>1.3559322033898304</v>
      </c>
      <c r="J18">
        <f t="shared" si="0"/>
        <v>220</v>
      </c>
      <c r="K18" s="3">
        <f>IFERROR(WORKDAY($A18, ROUNDUP(MAX(0, _xlfn.DAYS($A18, $B18)) / $I$40, 0),Sheet2!$A$2:$A$21),"")</f>
        <v>46213</v>
      </c>
      <c r="L18" s="36">
        <f t="shared" si="1"/>
        <v>46193.21347382605</v>
      </c>
      <c r="M18" s="22"/>
      <c r="N18" s="22"/>
      <c r="O18" s="23"/>
      <c r="P18" s="37"/>
    </row>
    <row r="19" spans="1:19" x14ac:dyDescent="0.25">
      <c r="A19" s="1">
        <v>45985</v>
      </c>
      <c r="B19" s="1">
        <v>45764</v>
      </c>
      <c r="C19" s="1"/>
      <c r="D19">
        <f t="shared" si="2"/>
        <v>9</v>
      </c>
      <c r="E19">
        <f>IF(A19="","",NETWORKDAYS(A18,A19,Sheet2!$A$2:$A$21)-1)</f>
        <v>6</v>
      </c>
      <c r="F19">
        <f t="shared" si="3"/>
        <v>1.5</v>
      </c>
      <c r="G19">
        <f>SUM($D$3:D19)</f>
        <v>89</v>
      </c>
      <c r="H19">
        <f>SUM($E$3:E19)</f>
        <v>65</v>
      </c>
      <c r="I19">
        <f t="shared" si="4"/>
        <v>1.3692307692307693</v>
      </c>
      <c r="J19">
        <f t="shared" si="0"/>
        <v>221</v>
      </c>
      <c r="K19" s="3">
        <f>IFERROR(WORKDAY($A19, ROUNDUP(MAX(0, _xlfn.DAYS($A19, $B19)) / $I$40, 0),Sheet2!$A$2:$A$21),"")</f>
        <v>46223</v>
      </c>
      <c r="L19" s="3">
        <f t="shared" si="1"/>
        <v>46203.260937333136</v>
      </c>
      <c r="M19" s="55" t="s">
        <v>51</v>
      </c>
      <c r="N19" s="55"/>
      <c r="O19" s="56"/>
      <c r="P19" s="14"/>
    </row>
    <row r="20" spans="1:19" ht="15" customHeight="1" x14ac:dyDescent="0.25">
      <c r="A20" s="1">
        <v>46021</v>
      </c>
      <c r="B20" s="1">
        <v>45797</v>
      </c>
      <c r="C20" s="1"/>
      <c r="D20">
        <f t="shared" si="2"/>
        <v>33</v>
      </c>
      <c r="E20">
        <f>IF(A20="","",NETWORKDAYS(A19,A20,Sheet2!$A$2:$A$21)-1)</f>
        <v>24</v>
      </c>
      <c r="F20">
        <f t="shared" si="3"/>
        <v>1.375</v>
      </c>
      <c r="G20">
        <f>SUM($D$3:D20)</f>
        <v>122</v>
      </c>
      <c r="H20">
        <f>SUM($E$3:E20)</f>
        <v>89</v>
      </c>
      <c r="I20">
        <f t="shared" si="4"/>
        <v>1.3707865168539326</v>
      </c>
      <c r="J20">
        <f t="shared" ref="J20:J27" si="5">_xlfn.DAYS(A20,B20)</f>
        <v>224</v>
      </c>
      <c r="K20" s="3">
        <f>IFERROR(WORKDAY($A20, ROUNDUP(MAX(0, _xlfn.DAYS($A20, $B20)) / $I$40, 0),Sheet2!$A$2:$A$21),"")</f>
        <v>46260</v>
      </c>
      <c r="L20" s="3">
        <f>A20*1.00474635070856</f>
        <v>46239.431805958644</v>
      </c>
      <c r="M20" s="57"/>
      <c r="N20" s="57"/>
      <c r="O20" s="58"/>
      <c r="P20" s="14"/>
    </row>
    <row r="21" spans="1:19" ht="15" customHeight="1" x14ac:dyDescent="0.25">
      <c r="A21" s="1">
        <v>46056</v>
      </c>
      <c r="B21" s="1">
        <v>45822</v>
      </c>
      <c r="C21" s="1">
        <v>46085</v>
      </c>
      <c r="D21">
        <f t="shared" si="2"/>
        <v>25</v>
      </c>
      <c r="E21">
        <f>IF(A21="","",NETWORKDAYS(A20,A21,Sheet2!$A$2:$A$21)-1)</f>
        <v>23</v>
      </c>
      <c r="F21">
        <f t="shared" si="3"/>
        <v>1.0869565217391304</v>
      </c>
      <c r="G21">
        <f>SUM($D$3:D21)</f>
        <v>147</v>
      </c>
      <c r="H21">
        <f>SUM($E$3:E21)</f>
        <v>112</v>
      </c>
      <c r="I21">
        <f t="shared" si="4"/>
        <v>1.3125</v>
      </c>
      <c r="J21">
        <f t="shared" si="5"/>
        <v>234</v>
      </c>
      <c r="K21" s="3">
        <f>IFERROR(WORKDAY($A21, ROUNDUP(MAX(0, _xlfn.DAYS($A21, $B21)) / $I$40, 0),Sheet2!$A$2:$A$21),"")</f>
        <v>46303</v>
      </c>
      <c r="L21" s="3">
        <f t="shared" si="1"/>
        <v>46274.597928233445</v>
      </c>
      <c r="M21" s="57"/>
      <c r="N21" s="57"/>
      <c r="O21" s="58"/>
      <c r="P21" s="14"/>
      <c r="S21" s="11"/>
    </row>
    <row r="22" spans="1:19" ht="15" customHeight="1" x14ac:dyDescent="0.25">
      <c r="A22" s="1">
        <v>46058</v>
      </c>
      <c r="B22" s="1">
        <v>45831</v>
      </c>
      <c r="D22">
        <f t="shared" ref="D22:D25" si="6">IF(B22="","",B22-B21)</f>
        <v>9</v>
      </c>
      <c r="E22">
        <f>IF(A22="","",NETWORKDAYS(A21,A22,Sheet2!$A$2:$A$21)-1)</f>
        <v>2</v>
      </c>
      <c r="F22">
        <f t="shared" si="3"/>
        <v>4.5</v>
      </c>
      <c r="G22">
        <f>SUM($D$3:D22)</f>
        <v>156</v>
      </c>
      <c r="H22">
        <f>SUM($E$3:E22)</f>
        <v>114</v>
      </c>
      <c r="I22">
        <f t="shared" si="4"/>
        <v>1.368421052631579</v>
      </c>
      <c r="J22">
        <f t="shared" si="5"/>
        <v>227</v>
      </c>
      <c r="K22" s="3">
        <f>IFERROR(WORKDAY($A23, ROUNDUP(MAX(0, _xlfn.DAYS($A23, $B23)) / $I$40, 0),Sheet2!$A$2:$A$21),"")</f>
        <v>46314</v>
      </c>
      <c r="L22" s="3">
        <f>A23*1.00474635070856</f>
        <v>46284.645391740531</v>
      </c>
      <c r="M22" s="57"/>
      <c r="N22" s="57"/>
      <c r="O22" s="58"/>
      <c r="P22" s="14"/>
    </row>
    <row r="23" spans="1:19" ht="15" customHeight="1" x14ac:dyDescent="0.25">
      <c r="A23" s="1">
        <v>46066</v>
      </c>
      <c r="B23" s="1">
        <v>45834</v>
      </c>
      <c r="C23" s="1">
        <v>46091</v>
      </c>
      <c r="D23">
        <f t="shared" si="6"/>
        <v>3</v>
      </c>
      <c r="E23">
        <f>IF(A23="","",NETWORKDAYS(A22,A23,Sheet2!$A$2:$A$21)-1)</f>
        <v>6</v>
      </c>
      <c r="F23">
        <f t="shared" si="3"/>
        <v>0.5</v>
      </c>
      <c r="G23">
        <f>SUM($D$3:D23)</f>
        <v>159</v>
      </c>
      <c r="H23">
        <f>SUM($E$3:E23)</f>
        <v>120</v>
      </c>
      <c r="I23">
        <f t="shared" si="4"/>
        <v>1.325</v>
      </c>
      <c r="J23">
        <f t="shared" si="5"/>
        <v>232</v>
      </c>
      <c r="K23" s="3">
        <f>IFERROR(WORKDAY($A24, ROUNDUP(MAX(0, _xlfn.DAYS($A24, $B24)) / $I$40, 0),Sheet2!$A$2:$A$21),"")</f>
        <v>46329</v>
      </c>
      <c r="L23" s="3">
        <f>A24*1.00474635070856</f>
        <v>46298.711840650452</v>
      </c>
      <c r="M23" s="57"/>
      <c r="N23" s="57"/>
      <c r="O23" s="58"/>
      <c r="P23" s="14"/>
      <c r="Q23" s="11"/>
    </row>
    <row r="24" spans="1:19" ht="15" customHeight="1" x14ac:dyDescent="0.25">
      <c r="A24" s="1">
        <v>46080</v>
      </c>
      <c r="B24" s="1">
        <v>45846</v>
      </c>
      <c r="C24" s="1"/>
      <c r="D24">
        <f t="shared" si="6"/>
        <v>12</v>
      </c>
      <c r="E24">
        <f>IF(A24="","",NETWORKDAYS(A23,A24,Sheet2!$A$2:$A$21)-1)</f>
        <v>9</v>
      </c>
      <c r="F24">
        <f t="shared" si="3"/>
        <v>1.3333333333333333</v>
      </c>
      <c r="G24">
        <f>SUM($D$3:D24)</f>
        <v>171</v>
      </c>
      <c r="H24">
        <f>SUM($E$3:E24)</f>
        <v>129</v>
      </c>
      <c r="I24">
        <f t="shared" si="4"/>
        <v>1.3255813953488371</v>
      </c>
      <c r="J24">
        <f t="shared" si="5"/>
        <v>234</v>
      </c>
      <c r="K24" s="3">
        <f>IFERROR(WORKDAY($A25, ROUNDUP(MAX(0, _xlfn.DAYS($A25, $B25)) / $I$40, 0),Sheet2!$A$2:$A$21),"")</f>
        <v>46332</v>
      </c>
      <c r="L24" s="3">
        <f>A25*1.00474635070856</f>
        <v>46309.764050508245</v>
      </c>
      <c r="M24" s="57"/>
      <c r="N24" s="57"/>
      <c r="O24" s="58"/>
      <c r="P24" s="14"/>
    </row>
    <row r="25" spans="1:19" ht="15" customHeight="1" x14ac:dyDescent="0.25">
      <c r="A25" s="1">
        <v>46091</v>
      </c>
      <c r="B25" s="1">
        <v>45862</v>
      </c>
      <c r="D25">
        <f t="shared" si="6"/>
        <v>16</v>
      </c>
      <c r="E25">
        <f>IF(A25="","",NETWORKDAYS(A24,A25,Sheet2!$A$2:$A$21)-1)</f>
        <v>7</v>
      </c>
      <c r="F25">
        <f t="shared" si="3"/>
        <v>2.2857142857142856</v>
      </c>
      <c r="G25">
        <f>SUM($D$3:D25)</f>
        <v>187</v>
      </c>
      <c r="H25">
        <f>SUM($E$3:E25)</f>
        <v>136</v>
      </c>
      <c r="I25">
        <f t="shared" si="4"/>
        <v>1.375</v>
      </c>
      <c r="J25">
        <f t="shared" si="5"/>
        <v>229</v>
      </c>
      <c r="K25" s="3">
        <f>IFERROR(WORKDAY($A25, ROUNDUP(MAX(0, _xlfn.DAYS($A25, $B25)) / $I$40, 0),Sheet2!$A$2:$A$21),"")</f>
        <v>46332</v>
      </c>
      <c r="L25" s="3">
        <f t="shared" si="1"/>
        <v>46309.764050508245</v>
      </c>
      <c r="M25" s="57"/>
      <c r="N25" s="57"/>
      <c r="O25" s="58"/>
      <c r="P25" s="14"/>
    </row>
    <row r="26" spans="1:19" ht="15" customHeight="1" x14ac:dyDescent="0.25">
      <c r="A26" s="1">
        <v>46093</v>
      </c>
      <c r="B26" s="1">
        <v>45864</v>
      </c>
      <c r="D26">
        <f t="shared" si="2"/>
        <v>2</v>
      </c>
      <c r="E26">
        <f>IF(A26="","",NETWORKDAYS(A25,A26,Sheet2!$A$2:$A$21)-1)</f>
        <v>2</v>
      </c>
      <c r="F26">
        <f t="shared" si="3"/>
        <v>1</v>
      </c>
      <c r="G26">
        <f>SUM($D$3:D26)</f>
        <v>189</v>
      </c>
      <c r="H26">
        <f>SUM($E$3:E26)</f>
        <v>138</v>
      </c>
      <c r="I26">
        <f t="shared" si="4"/>
        <v>1.3695652173913044</v>
      </c>
      <c r="J26">
        <f t="shared" si="5"/>
        <v>229</v>
      </c>
      <c r="K26" s="3">
        <f>IFERROR(WORKDAY($A26, ROUNDUP(MAX(0, _xlfn.DAYS($A26, $B26)) / $I$40, 0),Sheet2!$A$2:$A$21),"")</f>
        <v>46336</v>
      </c>
      <c r="L26" s="3">
        <f t="shared" si="1"/>
        <v>46311.77354320966</v>
      </c>
      <c r="M26" s="57"/>
      <c r="N26" s="57"/>
      <c r="O26" s="58"/>
      <c r="P26" s="14"/>
    </row>
    <row r="27" spans="1:19" ht="15" customHeight="1" x14ac:dyDescent="0.25">
      <c r="A27" s="1">
        <v>46099</v>
      </c>
      <c r="B27" s="1">
        <v>45871</v>
      </c>
      <c r="D27">
        <f>IF(B27="","",B27-B26)</f>
        <v>7</v>
      </c>
      <c r="E27">
        <f>IF(A27="","",NETWORKDAYS(A26,A27,Sheet2!$A$2:$A$21)-1)</f>
        <v>4</v>
      </c>
      <c r="F27">
        <f t="shared" si="3"/>
        <v>1.75</v>
      </c>
      <c r="G27">
        <f>SUM($D$3:D27)</f>
        <v>196</v>
      </c>
      <c r="H27">
        <f>SUM($E$3:E27)</f>
        <v>142</v>
      </c>
      <c r="I27">
        <f t="shared" si="4"/>
        <v>1.380281690140845</v>
      </c>
      <c r="J27">
        <f t="shared" si="5"/>
        <v>228</v>
      </c>
      <c r="K27" s="3">
        <f>IFERROR(WORKDAY($A27, ROUNDUP(MAX(0, _xlfn.DAYS($A27, $B27)) / $I$40, 0),Sheet2!$A$2:$A$21),"")</f>
        <v>46342</v>
      </c>
      <c r="L27" s="3">
        <f>A27*1.00474635070856</f>
        <v>46317.80202131391</v>
      </c>
      <c r="M27" s="59"/>
      <c r="N27" s="59"/>
      <c r="O27" s="60"/>
      <c r="P27" s="14"/>
      <c r="R27" s="9"/>
    </row>
    <row r="28" spans="1:19" ht="15" customHeight="1" x14ac:dyDescent="0.25">
      <c r="A28" s="1"/>
      <c r="B28" s="1"/>
      <c r="D28" t="str">
        <f t="shared" ref="D28:D39" si="7">IF(B28="","",B28-B27)</f>
        <v/>
      </c>
      <c r="E28" t="str">
        <f>IF(A28="","",NETWORKDAYS(A27,A28,Sheet2!$A$2:$A$21)-1)</f>
        <v/>
      </c>
      <c r="F28" t="e">
        <f t="shared" si="3"/>
        <v>#VALUE!</v>
      </c>
      <c r="G28">
        <f>SUM($D$3:D28)</f>
        <v>196</v>
      </c>
      <c r="H28">
        <f>SUM($E$3:E28)</f>
        <v>142</v>
      </c>
      <c r="I28">
        <f t="shared" ref="I28:I39" si="8">G28/H28</f>
        <v>1.380281690140845</v>
      </c>
      <c r="J28">
        <f t="shared" ref="J28:J39" si="9">_xlfn.DAYS(A28,B28)</f>
        <v>0</v>
      </c>
      <c r="K28" s="3">
        <f>IFERROR(WORKDAY($A28, ROUNDUP(MAX(0, _xlfn.DAYS($A28, $B28)) / $I$40, 0),Sheet2!$A$2:$A$21),"")</f>
        <v>0</v>
      </c>
      <c r="L28" s="3">
        <f t="shared" ref="L28:L39" si="10">A28*1.00474635070856</f>
        <v>0</v>
      </c>
      <c r="M28" s="47"/>
      <c r="N28" s="47"/>
      <c r="O28" s="47"/>
      <c r="P28" s="37"/>
      <c r="R28" s="9"/>
    </row>
    <row r="29" spans="1:19" ht="15" customHeight="1" x14ac:dyDescent="0.25">
      <c r="A29" s="1"/>
      <c r="B29" s="1"/>
      <c r="D29" t="str">
        <f t="shared" si="7"/>
        <v/>
      </c>
      <c r="E29" t="str">
        <f>IF(A29="","",NETWORKDAYS(A28,A29,Sheet2!$A$2:$A$21)-1)</f>
        <v/>
      </c>
      <c r="F29" t="e">
        <f t="shared" si="3"/>
        <v>#VALUE!</v>
      </c>
      <c r="G29">
        <f>SUM($D$3:D29)</f>
        <v>196</v>
      </c>
      <c r="H29">
        <f>SUM($E$3:E29)</f>
        <v>142</v>
      </c>
      <c r="I29">
        <f t="shared" si="8"/>
        <v>1.380281690140845</v>
      </c>
      <c r="J29">
        <f t="shared" si="9"/>
        <v>0</v>
      </c>
      <c r="K29" s="3">
        <f>IFERROR(WORKDAY($A29, ROUNDUP(MAX(0, _xlfn.DAYS($A29, $B29)) / $I$40, 0),Sheet2!$A$2:$A$21),"")</f>
        <v>0</v>
      </c>
      <c r="L29" s="3">
        <f t="shared" si="10"/>
        <v>0</v>
      </c>
      <c r="M29" s="47"/>
      <c r="N29" s="47"/>
      <c r="O29" s="47"/>
      <c r="P29" s="37"/>
      <c r="R29" s="9"/>
    </row>
    <row r="30" spans="1:19" ht="15" customHeight="1" x14ac:dyDescent="0.25">
      <c r="A30" s="1"/>
      <c r="B30" s="1"/>
      <c r="D30" t="str">
        <f t="shared" si="7"/>
        <v/>
      </c>
      <c r="E30" t="str">
        <f>IF(A30="","",NETWORKDAYS(A29,A30,Sheet2!$A$2:$A$21)-1)</f>
        <v/>
      </c>
      <c r="F30" t="e">
        <f t="shared" si="3"/>
        <v>#VALUE!</v>
      </c>
      <c r="G30">
        <f>SUM($D$3:D30)</f>
        <v>196</v>
      </c>
      <c r="H30">
        <f>SUM($E$3:E30)</f>
        <v>142</v>
      </c>
      <c r="I30">
        <f t="shared" si="8"/>
        <v>1.380281690140845</v>
      </c>
      <c r="J30">
        <f t="shared" si="9"/>
        <v>0</v>
      </c>
      <c r="K30" s="3">
        <f>IFERROR(WORKDAY($A30, ROUNDUP(MAX(0, _xlfn.DAYS($A30, $B30)) / $I$40, 0),Sheet2!$A$2:$A$21),"")</f>
        <v>0</v>
      </c>
      <c r="L30" s="3">
        <f t="shared" si="10"/>
        <v>0</v>
      </c>
      <c r="M30" s="47"/>
      <c r="N30" s="47"/>
      <c r="O30" s="47"/>
      <c r="P30" s="37"/>
      <c r="R30" s="9"/>
    </row>
    <row r="31" spans="1:19" ht="15" customHeight="1" x14ac:dyDescent="0.25">
      <c r="A31" s="1"/>
      <c r="B31" s="1"/>
      <c r="D31" t="str">
        <f t="shared" si="7"/>
        <v/>
      </c>
      <c r="E31" t="str">
        <f>IF(A31="","",NETWORKDAYS(A30,A31,Sheet2!$A$2:$A$21)-1)</f>
        <v/>
      </c>
      <c r="F31" t="e">
        <f t="shared" si="3"/>
        <v>#VALUE!</v>
      </c>
      <c r="G31">
        <f>SUM($D$3:D31)</f>
        <v>196</v>
      </c>
      <c r="H31">
        <f>SUM($E$3:E31)</f>
        <v>142</v>
      </c>
      <c r="I31">
        <f t="shared" si="8"/>
        <v>1.380281690140845</v>
      </c>
      <c r="J31">
        <f t="shared" si="9"/>
        <v>0</v>
      </c>
      <c r="K31" s="3">
        <f>IFERROR(WORKDAY($A31, ROUNDUP(MAX(0, _xlfn.DAYS($A31, $B31)) / $I$40, 0),Sheet2!$A$2:$A$21),"")</f>
        <v>0</v>
      </c>
      <c r="L31" s="3">
        <f t="shared" si="10"/>
        <v>0</v>
      </c>
      <c r="M31" s="47"/>
      <c r="N31" s="47"/>
      <c r="O31" s="47"/>
      <c r="P31" s="37"/>
      <c r="R31" s="9"/>
    </row>
    <row r="32" spans="1:19" ht="15" customHeight="1" x14ac:dyDescent="0.25">
      <c r="A32" s="1"/>
      <c r="B32" s="1"/>
      <c r="D32" t="str">
        <f t="shared" si="7"/>
        <v/>
      </c>
      <c r="E32" t="str">
        <f>IF(A32="","",NETWORKDAYS(A31,A32,Sheet2!$A$2:$A$21)-1)</f>
        <v/>
      </c>
      <c r="F32" t="e">
        <f t="shared" si="3"/>
        <v>#VALUE!</v>
      </c>
      <c r="G32">
        <f>SUM($D$3:D32)</f>
        <v>196</v>
      </c>
      <c r="H32">
        <f>SUM($E$3:E32)</f>
        <v>142</v>
      </c>
      <c r="I32">
        <f t="shared" si="8"/>
        <v>1.380281690140845</v>
      </c>
      <c r="J32">
        <f t="shared" si="9"/>
        <v>0</v>
      </c>
      <c r="K32" s="3">
        <f>IFERROR(WORKDAY($A32, ROUNDUP(MAX(0, _xlfn.DAYS($A32, $B32)) / $I$40, 0),Sheet2!$A$2:$A$21),"")</f>
        <v>0</v>
      </c>
      <c r="L32" s="3">
        <f t="shared" si="10"/>
        <v>0</v>
      </c>
      <c r="M32" s="47"/>
      <c r="N32" s="47"/>
      <c r="O32" s="47"/>
      <c r="P32" s="37"/>
      <c r="R32" s="9"/>
    </row>
    <row r="33" spans="1:20" ht="15" customHeight="1" x14ac:dyDescent="0.25">
      <c r="A33" s="1"/>
      <c r="B33" s="1"/>
      <c r="D33" t="str">
        <f t="shared" si="7"/>
        <v/>
      </c>
      <c r="E33" t="str">
        <f>IF(A33="","",NETWORKDAYS(A32,A33,Sheet2!$A$2:$A$21)-1)</f>
        <v/>
      </c>
      <c r="F33" t="e">
        <f t="shared" si="3"/>
        <v>#VALUE!</v>
      </c>
      <c r="G33">
        <f>SUM($D$3:D33)</f>
        <v>196</v>
      </c>
      <c r="H33">
        <f>SUM($E$3:E33)</f>
        <v>142</v>
      </c>
      <c r="I33">
        <f t="shared" si="8"/>
        <v>1.380281690140845</v>
      </c>
      <c r="J33">
        <f t="shared" si="9"/>
        <v>0</v>
      </c>
      <c r="K33" s="3">
        <f>IFERROR(WORKDAY($A33, ROUNDUP(MAX(0, _xlfn.DAYS($A33, $B33)) / $I$40, 0),Sheet2!$A$2:$A$21),"")</f>
        <v>0</v>
      </c>
      <c r="L33" s="3">
        <f t="shared" si="10"/>
        <v>0</v>
      </c>
      <c r="M33" s="47"/>
      <c r="N33" s="47"/>
      <c r="O33" s="47"/>
      <c r="P33" s="37"/>
      <c r="R33" s="9"/>
    </row>
    <row r="34" spans="1:20" ht="15" customHeight="1" x14ac:dyDescent="0.25">
      <c r="A34" s="1"/>
      <c r="B34" s="1"/>
      <c r="D34" t="str">
        <f t="shared" si="7"/>
        <v/>
      </c>
      <c r="E34" t="str">
        <f>IF(A34="","",NETWORKDAYS(A33,A34,Sheet2!$A$2:$A$21)-1)</f>
        <v/>
      </c>
      <c r="F34" t="e">
        <f t="shared" si="3"/>
        <v>#VALUE!</v>
      </c>
      <c r="G34">
        <f>SUM($D$3:D34)</f>
        <v>196</v>
      </c>
      <c r="H34">
        <f>SUM($E$3:E34)</f>
        <v>142</v>
      </c>
      <c r="I34">
        <f t="shared" si="8"/>
        <v>1.380281690140845</v>
      </c>
      <c r="J34">
        <f t="shared" si="9"/>
        <v>0</v>
      </c>
      <c r="K34" s="3">
        <f>IFERROR(WORKDAY($A34, ROUNDUP(MAX(0, _xlfn.DAYS($A34, $B34)) / $I$40, 0),Sheet2!$A$2:$A$21),"")</f>
        <v>0</v>
      </c>
      <c r="L34" s="3">
        <f t="shared" si="10"/>
        <v>0</v>
      </c>
      <c r="M34" s="47"/>
      <c r="N34" s="47"/>
      <c r="O34" s="47"/>
      <c r="P34" s="37"/>
      <c r="R34" s="9"/>
    </row>
    <row r="35" spans="1:20" ht="15" customHeight="1" x14ac:dyDescent="0.25">
      <c r="A35" s="1"/>
      <c r="B35" s="1"/>
      <c r="D35" t="str">
        <f t="shared" si="7"/>
        <v/>
      </c>
      <c r="E35" t="str">
        <f>IF(A35="","",NETWORKDAYS(A34,A35,Sheet2!$A$2:$A$21)-1)</f>
        <v/>
      </c>
      <c r="F35" t="e">
        <f t="shared" si="3"/>
        <v>#VALUE!</v>
      </c>
      <c r="G35">
        <f>SUM($D$3:D35)</f>
        <v>196</v>
      </c>
      <c r="H35">
        <f>SUM($E$3:E35)</f>
        <v>142</v>
      </c>
      <c r="I35">
        <f t="shared" si="8"/>
        <v>1.380281690140845</v>
      </c>
      <c r="J35">
        <f t="shared" si="9"/>
        <v>0</v>
      </c>
      <c r="K35" s="3">
        <f>IFERROR(WORKDAY($A35, ROUNDUP(MAX(0, _xlfn.DAYS($A35, $B35)) / $I$40, 0),Sheet2!$A$2:$A$21),"")</f>
        <v>0</v>
      </c>
      <c r="L35" s="3">
        <f t="shared" si="10"/>
        <v>0</v>
      </c>
      <c r="M35" s="47"/>
      <c r="N35" s="47"/>
      <c r="O35" s="47"/>
      <c r="P35" s="37"/>
      <c r="R35" s="9"/>
    </row>
    <row r="36" spans="1:20" ht="15" customHeight="1" x14ac:dyDescent="0.25">
      <c r="A36" s="1"/>
      <c r="B36" s="1"/>
      <c r="D36" t="str">
        <f t="shared" si="7"/>
        <v/>
      </c>
      <c r="E36" t="str">
        <f>IF(A36="","",NETWORKDAYS(A35,A36,Sheet2!$A$2:$A$21)-1)</f>
        <v/>
      </c>
      <c r="F36" t="e">
        <f t="shared" si="3"/>
        <v>#VALUE!</v>
      </c>
      <c r="G36">
        <f>SUM($D$3:D36)</f>
        <v>196</v>
      </c>
      <c r="H36">
        <f>SUM($E$3:E36)</f>
        <v>142</v>
      </c>
      <c r="I36">
        <f t="shared" si="8"/>
        <v>1.380281690140845</v>
      </c>
      <c r="J36">
        <f t="shared" si="9"/>
        <v>0</v>
      </c>
      <c r="K36" s="3">
        <f>IFERROR(WORKDAY($A36, ROUNDUP(MAX(0, _xlfn.DAYS($A36, $B36)) / $I$40, 0),Sheet2!$A$2:$A$21),"")</f>
        <v>0</v>
      </c>
      <c r="L36" s="3">
        <f t="shared" si="10"/>
        <v>0</v>
      </c>
      <c r="M36" s="47"/>
      <c r="N36" s="47"/>
      <c r="O36" s="47"/>
      <c r="P36" s="37"/>
      <c r="R36" s="9"/>
    </row>
    <row r="37" spans="1:20" ht="15" customHeight="1" x14ac:dyDescent="0.25">
      <c r="A37" s="1"/>
      <c r="B37" s="1"/>
      <c r="D37" t="str">
        <f t="shared" si="7"/>
        <v/>
      </c>
      <c r="E37" t="str">
        <f>IF(A37="","",NETWORKDAYS(A36,A37,Sheet2!$A$2:$A$21)-1)</f>
        <v/>
      </c>
      <c r="F37" t="e">
        <f t="shared" si="3"/>
        <v>#VALUE!</v>
      </c>
      <c r="G37">
        <f>SUM($D$3:D37)</f>
        <v>196</v>
      </c>
      <c r="H37">
        <f>SUM($E$3:E37)</f>
        <v>142</v>
      </c>
      <c r="I37">
        <f t="shared" si="8"/>
        <v>1.380281690140845</v>
      </c>
      <c r="J37">
        <f t="shared" si="9"/>
        <v>0</v>
      </c>
      <c r="K37" s="3">
        <f>IFERROR(WORKDAY($A37, ROUNDUP(MAX(0, _xlfn.DAYS($A37, $B37)) / $I$40, 0),Sheet2!$A$2:$A$21),"")</f>
        <v>0</v>
      </c>
      <c r="L37" s="3">
        <f t="shared" si="10"/>
        <v>0</v>
      </c>
      <c r="M37" s="47"/>
      <c r="N37" s="47"/>
      <c r="O37" s="47"/>
      <c r="P37" s="37"/>
      <c r="R37" s="9"/>
    </row>
    <row r="38" spans="1:20" ht="15" customHeight="1" x14ac:dyDescent="0.25">
      <c r="A38" s="1"/>
      <c r="B38" s="1"/>
      <c r="D38" t="str">
        <f t="shared" si="7"/>
        <v/>
      </c>
      <c r="E38" t="str">
        <f>IF(A38="","",NETWORKDAYS(A37,A38,Sheet2!$A$2:$A$21)-1)</f>
        <v/>
      </c>
      <c r="F38" t="e">
        <f t="shared" si="3"/>
        <v>#VALUE!</v>
      </c>
      <c r="G38">
        <f>SUM($D$3:D38)</f>
        <v>196</v>
      </c>
      <c r="H38">
        <f>SUM($E$3:E38)</f>
        <v>142</v>
      </c>
      <c r="I38">
        <f t="shared" si="8"/>
        <v>1.380281690140845</v>
      </c>
      <c r="J38">
        <f t="shared" si="9"/>
        <v>0</v>
      </c>
      <c r="K38" s="3">
        <f>IFERROR(WORKDAY($A38, ROUNDUP(MAX(0, _xlfn.DAYS($A38, $B38)) / $I$40, 0),Sheet2!$A$2:$A$21),"")</f>
        <v>0</v>
      </c>
      <c r="L38" s="3">
        <f t="shared" si="10"/>
        <v>0</v>
      </c>
      <c r="M38" s="47"/>
      <c r="N38" s="47"/>
      <c r="O38" s="47"/>
      <c r="P38" s="37"/>
      <c r="R38" s="9"/>
    </row>
    <row r="39" spans="1:20" ht="15" customHeight="1" x14ac:dyDescent="0.25">
      <c r="A39" s="1"/>
      <c r="B39" s="1"/>
      <c r="D39" t="str">
        <f t="shared" si="7"/>
        <v/>
      </c>
      <c r="E39" t="str">
        <f>IF(A39="","",NETWORKDAYS(A38,A39,Sheet2!$A$2:$A$21)-1)</f>
        <v/>
      </c>
      <c r="F39" t="e">
        <f t="shared" si="3"/>
        <v>#VALUE!</v>
      </c>
      <c r="G39">
        <f>SUM($D$3:D39)</f>
        <v>196</v>
      </c>
      <c r="H39">
        <f>SUM($E$3:E39)</f>
        <v>142</v>
      </c>
      <c r="I39">
        <f t="shared" si="8"/>
        <v>1.380281690140845</v>
      </c>
      <c r="J39">
        <f t="shared" si="9"/>
        <v>0</v>
      </c>
      <c r="K39" s="3">
        <f>IFERROR(WORKDAY($A39, ROUNDUP(MAX(0, _xlfn.DAYS($A39, $B39)) / $I$40, 0),Sheet2!$A$2:$A$21),"")</f>
        <v>0</v>
      </c>
      <c r="L39" s="3">
        <f t="shared" si="10"/>
        <v>0</v>
      </c>
      <c r="M39" s="47"/>
      <c r="N39" s="47"/>
      <c r="O39" s="47"/>
      <c r="P39" s="37"/>
      <c r="R39" s="9"/>
    </row>
    <row r="40" spans="1:20" x14ac:dyDescent="0.25">
      <c r="A40" s="12" t="s">
        <v>33</v>
      </c>
      <c r="B40" s="12"/>
      <c r="C40" s="12"/>
      <c r="D40" s="12">
        <f t="shared" ref="D40:I40" si="11">AVERAGE(D3:D27)</f>
        <v>7.84</v>
      </c>
      <c r="E40" s="12">
        <f t="shared" si="11"/>
        <v>5.68</v>
      </c>
      <c r="F40" s="12">
        <f t="shared" si="11"/>
        <v>1.657129054520359</v>
      </c>
      <c r="G40" s="12">
        <f t="shared" si="11"/>
        <v>86.65</v>
      </c>
      <c r="H40" s="12">
        <f t="shared" si="11"/>
        <v>63.88</v>
      </c>
      <c r="I40" s="12">
        <f t="shared" si="11"/>
        <v>1.3575634892539035</v>
      </c>
      <c r="J40" s="12">
        <f>AVERAGE(J2:J27)</f>
        <v>221.03846153846155</v>
      </c>
      <c r="K40" s="12"/>
      <c r="L40" s="12"/>
      <c r="M40" s="12"/>
      <c r="N40" s="12"/>
      <c r="O40" s="12"/>
      <c r="P40" s="15"/>
      <c r="Q40" s="11"/>
      <c r="R40" s="9"/>
      <c r="T40" s="9"/>
    </row>
    <row r="41" spans="1:20" ht="28.5" customHeight="1" x14ac:dyDescent="0.25">
      <c r="A41" s="7"/>
      <c r="B41" s="7"/>
      <c r="C41" s="7"/>
      <c r="D41" s="7"/>
      <c r="E41" s="7"/>
      <c r="F41" s="7"/>
      <c r="G41" s="63" t="s">
        <v>46</v>
      </c>
      <c r="H41" s="64"/>
      <c r="I41" s="33">
        <f>G40/H40</f>
        <v>1.3564495929868503</v>
      </c>
      <c r="J41" s="7">
        <f>MEDIAN(J2:J27)</f>
        <v>219.5</v>
      </c>
      <c r="K41" s="8"/>
      <c r="L41" s="9"/>
      <c r="M41" s="7"/>
      <c r="N41" s="7"/>
      <c r="R41" s="11"/>
      <c r="S41" s="11"/>
      <c r="T41" s="9"/>
    </row>
    <row r="42" spans="1:20" x14ac:dyDescent="0.25">
      <c r="A42" s="7"/>
      <c r="B42" s="7"/>
      <c r="C42" s="7"/>
      <c r="D42" s="7"/>
      <c r="E42" s="7"/>
      <c r="F42" s="7"/>
      <c r="G42" s="7"/>
      <c r="H42" s="7"/>
      <c r="I42" s="7"/>
      <c r="J42" s="7"/>
      <c r="K42" s="8"/>
      <c r="L42" s="9"/>
      <c r="M42" s="61" t="s">
        <v>52</v>
      </c>
      <c r="N42" s="61"/>
      <c r="O42" s="61"/>
      <c r="R42" s="9"/>
    </row>
    <row r="43" spans="1:20" x14ac:dyDescent="0.25">
      <c r="A43" s="11"/>
      <c r="B43" s="7"/>
      <c r="C43" s="7"/>
      <c r="D43" s="7"/>
      <c r="E43" s="7"/>
      <c r="F43" s="7"/>
      <c r="G43" s="7"/>
      <c r="H43" s="7"/>
      <c r="I43" s="7"/>
      <c r="J43" s="7"/>
      <c r="K43" s="8"/>
      <c r="L43" s="9"/>
      <c r="M43" s="61"/>
      <c r="N43" s="61"/>
      <c r="O43" s="61"/>
      <c r="R43" s="9"/>
    </row>
    <row r="44" spans="1:20" x14ac:dyDescent="0.25">
      <c r="A44" s="7"/>
      <c r="B44" s="7"/>
      <c r="C44" s="7"/>
      <c r="D44" s="7"/>
      <c r="E44" s="7"/>
      <c r="F44" s="7"/>
      <c r="G44" s="7"/>
      <c r="H44" s="11"/>
      <c r="I44" s="7"/>
      <c r="J44" s="7"/>
      <c r="K44" s="8"/>
      <c r="L44" s="8"/>
      <c r="M44" s="8"/>
      <c r="N44" s="8"/>
      <c r="R44" s="11"/>
    </row>
    <row r="45" spans="1:20" x14ac:dyDescent="0.25">
      <c r="A45" s="7"/>
      <c r="B45" s="7"/>
      <c r="C45" s="7"/>
      <c r="D45" s="7"/>
      <c r="E45" s="7"/>
      <c r="F45" s="9">
        <f>(SUM(D12:D20)) / (SUM(E12:E20))</f>
        <v>1.35</v>
      </c>
      <c r="G45" s="7"/>
      <c r="H45" s="11"/>
      <c r="I45" s="7"/>
      <c r="J45" s="7">
        <f>J20/F20</f>
        <v>162.90909090909091</v>
      </c>
      <c r="K45" s="8"/>
      <c r="L45" s="8"/>
      <c r="M45" s="8"/>
      <c r="N45" s="8"/>
      <c r="R45" s="9"/>
    </row>
    <row r="46" spans="1:20" x14ac:dyDescent="0.25">
      <c r="A46" s="7"/>
      <c r="B46" s="7"/>
      <c r="C46" s="7"/>
      <c r="D46" s="7"/>
      <c r="E46" s="7"/>
      <c r="F46" s="7">
        <f>_xlfn.STDEV.S(F12:F20)</f>
        <v>1.6525027652720659</v>
      </c>
      <c r="G46" s="7"/>
      <c r="H46" s="11"/>
      <c r="I46" s="7"/>
      <c r="J46" s="11"/>
      <c r="K46" s="8"/>
      <c r="L46" s="8"/>
      <c r="M46" s="8"/>
      <c r="N46" s="8"/>
      <c r="R46" s="9"/>
    </row>
    <row r="47" spans="1:20" x14ac:dyDescent="0.25">
      <c r="A47" s="7"/>
      <c r="B47" s="7"/>
      <c r="C47" s="7"/>
      <c r="D47" s="7"/>
      <c r="E47" s="7"/>
      <c r="F47" s="7"/>
      <c r="G47" s="7"/>
      <c r="H47" s="7"/>
      <c r="I47" s="7" t="e">
        <f>[1]Simulation!$F$1/B2</f>
        <v>#REF!</v>
      </c>
      <c r="J47" s="7" cm="1">
        <f t="array" aca="1" ref="J47" ca="1">INDEX($G$5:$G$23, RANDBETWEEN(1, COUNTA($G$5:$G$23)))</f>
        <v>36</v>
      </c>
      <c r="K47" s="8"/>
      <c r="L47" s="8"/>
      <c r="M47" s="8"/>
      <c r="N47" s="8"/>
      <c r="R47" s="9"/>
    </row>
    <row r="48" spans="1:20" ht="291.75" customHeight="1" x14ac:dyDescent="0.25">
      <c r="A48" s="7"/>
      <c r="B48" s="7"/>
      <c r="C48" s="7"/>
      <c r="D48" s="7"/>
      <c r="E48" s="7"/>
      <c r="F48" s="7"/>
      <c r="G48" s="7"/>
      <c r="H48" s="7"/>
      <c r="I48" s="7"/>
      <c r="J48" s="7"/>
      <c r="K48" s="8"/>
      <c r="L48" s="8"/>
      <c r="M48" s="8"/>
      <c r="N48" s="8"/>
    </row>
    <row r="49" spans="11:11" x14ac:dyDescent="0.25">
      <c r="K49" s="3" t="str">
        <f>IFERROR(WORKDAY($A15, ROUNDUP(MAX(0, _xlfn.DAYS($A15, $B15)) / $I43, 0),Sheet2!$A$2:$A$21),"")</f>
        <v/>
      </c>
    </row>
    <row r="50" spans="11:11" x14ac:dyDescent="0.25">
      <c r="K50" s="3" t="str">
        <f>IFERROR(WORKDAY($A16, ROUNDUP(MAX(0, _xlfn.DAYS($A16, $B16)) / $I44, 0),Sheet2!$A$2:$A$21),"")</f>
        <v/>
      </c>
    </row>
    <row r="51" spans="11:11" x14ac:dyDescent="0.25">
      <c r="K51" s="3" t="str">
        <f>IFERROR(WORKDAY($A17, ROUNDUP(MAX(0, _xlfn.DAYS($A17, $B17)) / $I45, 0),Sheet2!$A$2:$A$21),"")</f>
        <v/>
      </c>
    </row>
    <row r="52" spans="11:11" x14ac:dyDescent="0.25">
      <c r="K52" s="3" t="str">
        <f>IFERROR(WORKDAY($A18, ROUNDUP(MAX(0, _xlfn.DAYS($A18, $B18)) / $I46, 0),Sheet2!$A$2:$A$21),"")</f>
        <v/>
      </c>
    </row>
    <row r="53" spans="11:11" x14ac:dyDescent="0.25">
      <c r="K53" s="3" t="str">
        <f>IFERROR(WORKDAY($A19, ROUNDUP(MAX(0, _xlfn.DAYS($A19, $B19)) / $I47, 0),Sheet2!$A$2:$A$21),"")</f>
        <v/>
      </c>
    </row>
    <row r="54" spans="11:11" x14ac:dyDescent="0.25">
      <c r="K54" s="3" t="str">
        <f>IFERROR(WORKDAY($A20, ROUNDUP(MAX(0, _xlfn.DAYS($A20, $B20)) / $I48, 0),Sheet2!$A$2:$A$21),"")</f>
        <v/>
      </c>
    </row>
    <row r="67" spans="3:4" ht="30" x14ac:dyDescent="0.25">
      <c r="C67" s="2" t="s">
        <v>42</v>
      </c>
      <c r="D67" s="2" t="s">
        <v>41</v>
      </c>
    </row>
    <row r="68" spans="3:4" x14ac:dyDescent="0.25">
      <c r="C68" s="4">
        <v>45676</v>
      </c>
      <c r="D68" s="4">
        <v>45889</v>
      </c>
    </row>
    <row r="69" spans="3:4" x14ac:dyDescent="0.25">
      <c r="C69" s="4">
        <v>45690</v>
      </c>
      <c r="D69" s="4">
        <v>45908</v>
      </c>
    </row>
    <row r="70" spans="3:4" x14ac:dyDescent="0.25">
      <c r="C70" s="4">
        <v>45698</v>
      </c>
      <c r="D70" s="4">
        <v>45915</v>
      </c>
    </row>
    <row r="71" spans="3:4" x14ac:dyDescent="0.25">
      <c r="C71" s="4">
        <v>45707</v>
      </c>
      <c r="D71" s="4">
        <v>45919</v>
      </c>
    </row>
    <row r="72" spans="3:4" x14ac:dyDescent="0.25">
      <c r="C72" s="4">
        <v>45709</v>
      </c>
      <c r="D72" s="4">
        <v>45923</v>
      </c>
    </row>
    <row r="73" spans="3:4" x14ac:dyDescent="0.25">
      <c r="C73" s="4">
        <v>45712</v>
      </c>
      <c r="D73" s="4">
        <v>45924</v>
      </c>
    </row>
    <row r="74" spans="3:4" x14ac:dyDescent="0.25">
      <c r="C74" s="4">
        <v>45712</v>
      </c>
      <c r="D74" s="4">
        <v>45926</v>
      </c>
    </row>
    <row r="75" spans="3:4" x14ac:dyDescent="0.25">
      <c r="C75" s="4">
        <v>45712</v>
      </c>
      <c r="D75" s="4">
        <v>45929</v>
      </c>
    </row>
    <row r="76" spans="3:4" x14ac:dyDescent="0.25">
      <c r="C76" s="4">
        <v>45712</v>
      </c>
      <c r="D76" s="4">
        <v>45930</v>
      </c>
    </row>
    <row r="77" spans="3:4" x14ac:dyDescent="0.25">
      <c r="C77" s="4">
        <v>45716</v>
      </c>
      <c r="D77" s="4">
        <v>45931</v>
      </c>
    </row>
    <row r="78" spans="3:4" x14ac:dyDescent="0.25">
      <c r="C78" s="4">
        <v>45718</v>
      </c>
      <c r="D78" s="4">
        <v>45937</v>
      </c>
    </row>
    <row r="79" spans="3:4" x14ac:dyDescent="0.25">
      <c r="C79" s="4">
        <v>45725</v>
      </c>
      <c r="D79" s="4">
        <v>45945</v>
      </c>
    </row>
    <row r="80" spans="3:4" x14ac:dyDescent="0.25">
      <c r="C80" s="4">
        <v>45739</v>
      </c>
      <c r="D80" s="4">
        <v>45958</v>
      </c>
    </row>
    <row r="81" spans="1:13" x14ac:dyDescent="0.25">
      <c r="C81" s="4">
        <v>45746</v>
      </c>
      <c r="D81" s="4">
        <v>45968</v>
      </c>
    </row>
    <row r="82" spans="1:13" x14ac:dyDescent="0.25">
      <c r="C82" s="4">
        <v>45752</v>
      </c>
      <c r="D82" s="4">
        <v>45971</v>
      </c>
    </row>
    <row r="83" spans="1:13" x14ac:dyDescent="0.25">
      <c r="C83" s="4">
        <v>45753</v>
      </c>
      <c r="D83" s="4">
        <v>45973</v>
      </c>
    </row>
    <row r="84" spans="1:13" x14ac:dyDescent="0.25">
      <c r="C84" s="4">
        <v>45755</v>
      </c>
      <c r="D84" s="4">
        <v>45975</v>
      </c>
      <c r="E84" t="s">
        <v>39</v>
      </c>
      <c r="G84">
        <v>1.0047463507085601</v>
      </c>
    </row>
    <row r="85" spans="1:13" x14ac:dyDescent="0.25">
      <c r="C85" s="4">
        <v>45764</v>
      </c>
      <c r="D85" s="4">
        <v>45985</v>
      </c>
      <c r="E85" t="s">
        <v>40</v>
      </c>
      <c r="G85">
        <v>1.00475095763835</v>
      </c>
    </row>
    <row r="86" spans="1:13" x14ac:dyDescent="0.25">
      <c r="C86" s="4">
        <v>45822</v>
      </c>
      <c r="D86" s="4">
        <v>46056</v>
      </c>
    </row>
    <row r="87" spans="1:13" x14ac:dyDescent="0.25">
      <c r="C87" s="4">
        <v>45831</v>
      </c>
      <c r="D87" s="4">
        <v>46058</v>
      </c>
    </row>
    <row r="88" spans="1:13" x14ac:dyDescent="0.25">
      <c r="C88" s="4">
        <v>45834</v>
      </c>
      <c r="D88" s="4">
        <v>46066</v>
      </c>
    </row>
    <row r="89" spans="1:13" x14ac:dyDescent="0.25">
      <c r="C89" s="4">
        <v>45846</v>
      </c>
      <c r="D89" s="4">
        <v>46080</v>
      </c>
    </row>
    <row r="90" spans="1:13" x14ac:dyDescent="0.25">
      <c r="A90" s="4"/>
      <c r="C90" s="4">
        <v>45862</v>
      </c>
      <c r="D90" s="4">
        <v>46091</v>
      </c>
    </row>
    <row r="91" spans="1:13" ht="15" customHeight="1" x14ac:dyDescent="0.25">
      <c r="A91" s="4"/>
      <c r="C91" s="4">
        <v>45864</v>
      </c>
      <c r="D91" s="4">
        <v>46093</v>
      </c>
      <c r="H91" s="62" t="s">
        <v>53</v>
      </c>
      <c r="I91" s="62"/>
      <c r="J91" s="62"/>
      <c r="K91" s="62"/>
      <c r="L91" s="62"/>
      <c r="M91" s="62"/>
    </row>
    <row r="92" spans="1:13" x14ac:dyDescent="0.25">
      <c r="A92" s="4" t="s">
        <v>62</v>
      </c>
      <c r="C92" s="4">
        <v>45871</v>
      </c>
      <c r="D92" s="4">
        <v>46099</v>
      </c>
      <c r="F92" s="45">
        <f>SLOPE(D68:D92,C68:C92)</f>
        <v>1.0996490280303997</v>
      </c>
      <c r="G92" s="46">
        <v>45871</v>
      </c>
      <c r="H92" s="62"/>
      <c r="I92" s="62"/>
      <c r="J92" s="62"/>
      <c r="K92" s="62"/>
      <c r="L92" s="62"/>
      <c r="M92" s="62"/>
    </row>
    <row r="93" spans="1:13" x14ac:dyDescent="0.25">
      <c r="A93" s="4"/>
      <c r="F93" s="46">
        <f>INTERCEPT(D68:D92,C68:C92)</f>
        <v>-4338.7245615481224</v>
      </c>
      <c r="G93" s="45"/>
      <c r="H93" s="62"/>
      <c r="I93" s="62"/>
      <c r="J93" s="62"/>
      <c r="K93" s="62"/>
      <c r="L93" s="62"/>
      <c r="M93" s="62"/>
    </row>
    <row r="94" spans="1:13" x14ac:dyDescent="0.25">
      <c r="F94" s="45"/>
      <c r="G94" s="45"/>
      <c r="H94" s="62"/>
      <c r="I94" s="62"/>
      <c r="J94" s="62"/>
      <c r="K94" s="62"/>
      <c r="L94" s="62"/>
      <c r="M94" s="62"/>
    </row>
    <row r="95" spans="1:13" x14ac:dyDescent="0.25">
      <c r="F95" s="45"/>
      <c r="G95" s="45"/>
      <c r="H95" s="62"/>
      <c r="I95" s="62"/>
      <c r="J95" s="62"/>
      <c r="K95" s="62"/>
      <c r="L95" s="62"/>
      <c r="M95" s="62"/>
    </row>
    <row r="96" spans="1:13" x14ac:dyDescent="0.25">
      <c r="F96" s="45"/>
      <c r="G96" s="45"/>
      <c r="H96" s="62"/>
      <c r="I96" s="62"/>
      <c r="J96" s="62"/>
      <c r="K96" s="62"/>
      <c r="L96" s="62"/>
      <c r="M96" s="62"/>
    </row>
    <row r="97" spans="2:13" x14ac:dyDescent="0.25">
      <c r="F97" s="45"/>
      <c r="G97" s="45"/>
      <c r="H97" s="62"/>
      <c r="I97" s="62"/>
      <c r="J97" s="62"/>
      <c r="K97" s="62"/>
      <c r="L97" s="62"/>
      <c r="M97" s="62"/>
    </row>
    <row r="98" spans="2:13" x14ac:dyDescent="0.25">
      <c r="C98" s="54" t="s">
        <v>61</v>
      </c>
      <c r="D98" s="54"/>
      <c r="E98" s="54"/>
      <c r="F98" s="45"/>
      <c r="G98" s="45"/>
      <c r="H98" s="62"/>
      <c r="I98" s="62"/>
      <c r="J98" s="62"/>
      <c r="K98" s="62"/>
      <c r="L98" s="62"/>
      <c r="M98" s="62"/>
    </row>
    <row r="99" spans="2:13" x14ac:dyDescent="0.25">
      <c r="C99" s="54"/>
      <c r="D99" s="54"/>
      <c r="E99" s="54"/>
      <c r="F99" s="45"/>
      <c r="G99" s="45"/>
      <c r="H99" s="62"/>
      <c r="I99" s="62"/>
      <c r="J99" s="62"/>
      <c r="K99" s="62"/>
      <c r="L99" s="62"/>
      <c r="M99" s="62"/>
    </row>
    <row r="100" spans="2:13" x14ac:dyDescent="0.25">
      <c r="C100" s="54"/>
      <c r="D100" s="54"/>
      <c r="E100" s="54"/>
      <c r="F100" s="45"/>
      <c r="G100" s="45"/>
      <c r="H100" s="62"/>
      <c r="I100" s="62"/>
      <c r="J100" s="62"/>
      <c r="K100" s="62"/>
      <c r="L100" s="62"/>
      <c r="M100" s="62"/>
    </row>
    <row r="101" spans="2:13" x14ac:dyDescent="0.25">
      <c r="C101" s="54"/>
      <c r="D101" s="54"/>
      <c r="E101" s="54"/>
      <c r="F101" s="45"/>
      <c r="G101" s="45"/>
    </row>
    <row r="102" spans="2:13" x14ac:dyDescent="0.25">
      <c r="C102" s="54"/>
      <c r="D102" s="54"/>
      <c r="E102" s="54"/>
      <c r="F102" s="46">
        <f>(F92*G92)+F93</f>
        <v>46103.276003234343</v>
      </c>
      <c r="G102" s="45"/>
    </row>
    <row r="111" spans="2:13" ht="30" x14ac:dyDescent="0.25">
      <c r="C111" s="2" t="s">
        <v>42</v>
      </c>
      <c r="D111" s="2" t="s">
        <v>41</v>
      </c>
    </row>
    <row r="112" spans="2:13" x14ac:dyDescent="0.25">
      <c r="B112">
        <v>213</v>
      </c>
      <c r="C112" s="4">
        <v>45676</v>
      </c>
      <c r="D112" s="4">
        <v>45889</v>
      </c>
    </row>
    <row r="113" spans="2:4" x14ac:dyDescent="0.25">
      <c r="B113">
        <v>218</v>
      </c>
      <c r="C113" s="4">
        <v>45690</v>
      </c>
      <c r="D113" s="4">
        <v>45908</v>
      </c>
    </row>
    <row r="114" spans="2:4" x14ac:dyDescent="0.25">
      <c r="B114">
        <v>217</v>
      </c>
      <c r="C114" s="4">
        <v>45698</v>
      </c>
      <c r="D114" s="4">
        <v>45915</v>
      </c>
    </row>
    <row r="115" spans="2:4" x14ac:dyDescent="0.25">
      <c r="B115">
        <v>212</v>
      </c>
      <c r="C115" s="4">
        <v>45707</v>
      </c>
      <c r="D115" s="4">
        <v>45919</v>
      </c>
    </row>
    <row r="116" spans="2:4" x14ac:dyDescent="0.25">
      <c r="B116">
        <v>214</v>
      </c>
      <c r="C116" s="4">
        <v>45709</v>
      </c>
      <c r="D116" s="4">
        <v>45923</v>
      </c>
    </row>
    <row r="117" spans="2:4" x14ac:dyDescent="0.25">
      <c r="B117">
        <v>212</v>
      </c>
      <c r="C117" s="4">
        <v>45712</v>
      </c>
      <c r="D117" s="4">
        <v>45924</v>
      </c>
    </row>
    <row r="118" spans="2:4" x14ac:dyDescent="0.25">
      <c r="B118">
        <v>214</v>
      </c>
      <c r="C118" s="4">
        <v>45712</v>
      </c>
      <c r="D118" s="4">
        <v>45926</v>
      </c>
    </row>
    <row r="119" spans="2:4" x14ac:dyDescent="0.25">
      <c r="B119">
        <v>217</v>
      </c>
      <c r="C119" s="4">
        <v>45712</v>
      </c>
      <c r="D119" s="4">
        <v>45929</v>
      </c>
    </row>
    <row r="120" spans="2:4" x14ac:dyDescent="0.25">
      <c r="B120">
        <v>218</v>
      </c>
      <c r="C120" s="4">
        <v>45712</v>
      </c>
      <c r="D120" s="4">
        <v>45930</v>
      </c>
    </row>
    <row r="121" spans="2:4" x14ac:dyDescent="0.25">
      <c r="B121">
        <v>215</v>
      </c>
      <c r="C121" s="4">
        <v>45716</v>
      </c>
      <c r="D121" s="4">
        <v>45931</v>
      </c>
    </row>
    <row r="122" spans="2:4" x14ac:dyDescent="0.25">
      <c r="B122">
        <v>219</v>
      </c>
      <c r="C122" s="4">
        <v>45718</v>
      </c>
      <c r="D122" s="4">
        <v>45937</v>
      </c>
    </row>
    <row r="123" spans="2:4" x14ac:dyDescent="0.25">
      <c r="B123">
        <v>220</v>
      </c>
      <c r="C123" s="4">
        <v>45725</v>
      </c>
      <c r="D123" s="4">
        <v>45945</v>
      </c>
    </row>
    <row r="124" spans="2:4" x14ac:dyDescent="0.25">
      <c r="B124">
        <v>219</v>
      </c>
      <c r="C124" s="4">
        <v>45739</v>
      </c>
      <c r="D124" s="4">
        <v>45958</v>
      </c>
    </row>
    <row r="125" spans="2:4" x14ac:dyDescent="0.25">
      <c r="B125">
        <v>222</v>
      </c>
      <c r="C125" s="4">
        <v>45746</v>
      </c>
      <c r="D125" s="4">
        <v>45968</v>
      </c>
    </row>
    <row r="126" spans="2:4" x14ac:dyDescent="0.25">
      <c r="B126">
        <v>219</v>
      </c>
      <c r="C126" s="4">
        <v>45752</v>
      </c>
      <c r="D126" s="4">
        <v>45971</v>
      </c>
    </row>
    <row r="127" spans="2:4" x14ac:dyDescent="0.25">
      <c r="B127">
        <v>220</v>
      </c>
      <c r="C127" s="4">
        <v>45753</v>
      </c>
      <c r="D127" s="4">
        <v>45973</v>
      </c>
    </row>
    <row r="128" spans="2:4" x14ac:dyDescent="0.25">
      <c r="B128">
        <v>220</v>
      </c>
      <c r="C128" s="4">
        <v>45755</v>
      </c>
      <c r="D128" s="4">
        <v>45975</v>
      </c>
    </row>
    <row r="129" spans="2:6" x14ac:dyDescent="0.25">
      <c r="B129">
        <v>221</v>
      </c>
      <c r="C129" s="4">
        <v>45764</v>
      </c>
      <c r="D129" s="4">
        <v>45985</v>
      </c>
    </row>
    <row r="130" spans="2:6" x14ac:dyDescent="0.25">
      <c r="B130">
        <v>224</v>
      </c>
      <c r="C130" s="4">
        <v>45822</v>
      </c>
      <c r="D130" s="4">
        <v>46056</v>
      </c>
    </row>
    <row r="131" spans="2:6" x14ac:dyDescent="0.25">
      <c r="B131">
        <v>234</v>
      </c>
      <c r="C131" s="4">
        <v>45831</v>
      </c>
      <c r="D131" s="4">
        <v>46058</v>
      </c>
    </row>
    <row r="132" spans="2:6" x14ac:dyDescent="0.25">
      <c r="B132">
        <v>227</v>
      </c>
      <c r="C132" s="4">
        <v>45834</v>
      </c>
      <c r="D132" s="4">
        <v>46066</v>
      </c>
    </row>
    <row r="133" spans="2:6" x14ac:dyDescent="0.25">
      <c r="B133">
        <v>232</v>
      </c>
      <c r="C133" s="4">
        <v>45846</v>
      </c>
      <c r="D133" s="4">
        <v>46080</v>
      </c>
    </row>
    <row r="134" spans="2:6" x14ac:dyDescent="0.25">
      <c r="B134">
        <v>234</v>
      </c>
      <c r="C134" s="4">
        <v>45864</v>
      </c>
      <c r="D134" s="4">
        <v>46093</v>
      </c>
      <c r="F134" s="1">
        <v>45707</v>
      </c>
    </row>
    <row r="135" spans="2:6" x14ac:dyDescent="0.25">
      <c r="B135">
        <v>229</v>
      </c>
    </row>
    <row r="136" spans="2:6" x14ac:dyDescent="0.25">
      <c r="B136">
        <v>229</v>
      </c>
      <c r="F136" s="1">
        <f>MAX(_xlfn.FORECAST.LINEAR(F134,D111:D134,C111:C134),MAX(C111:C134))</f>
        <v>45922.724991255462</v>
      </c>
    </row>
    <row r="137" spans="2:6" x14ac:dyDescent="0.25">
      <c r="B137">
        <v>228</v>
      </c>
    </row>
    <row r="154" spans="3:7" ht="30" x14ac:dyDescent="0.25">
      <c r="C154" s="2" t="s">
        <v>42</v>
      </c>
      <c r="D154" s="2" t="s">
        <v>41</v>
      </c>
    </row>
    <row r="155" spans="3:7" x14ac:dyDescent="0.25">
      <c r="C155" s="4">
        <v>45676</v>
      </c>
      <c r="D155" s="4">
        <v>45889</v>
      </c>
      <c r="E155" s="4">
        <f>(C156-C155)/(D156-D155)</f>
        <v>0.73684210526315785</v>
      </c>
      <c r="G155" s="4"/>
    </row>
    <row r="156" spans="3:7" x14ac:dyDescent="0.25">
      <c r="C156" s="4">
        <v>45690</v>
      </c>
      <c r="D156" s="4">
        <v>45908</v>
      </c>
      <c r="E156" s="4">
        <f t="shared" ref="E156:E174" si="12">(C157-C156)/(D157-D156)</f>
        <v>1.1428571428571428</v>
      </c>
    </row>
    <row r="157" spans="3:7" x14ac:dyDescent="0.25">
      <c r="C157" s="4">
        <v>45698</v>
      </c>
      <c r="D157" s="4">
        <v>45915</v>
      </c>
      <c r="E157" s="4">
        <f t="shared" si="12"/>
        <v>2.25</v>
      </c>
    </row>
    <row r="158" spans="3:7" x14ac:dyDescent="0.25">
      <c r="C158" s="4">
        <v>45707</v>
      </c>
      <c r="D158" s="4">
        <v>45919</v>
      </c>
      <c r="E158" s="4">
        <f t="shared" si="12"/>
        <v>0.5</v>
      </c>
    </row>
    <row r="159" spans="3:7" x14ac:dyDescent="0.25">
      <c r="C159" s="4">
        <v>45709</v>
      </c>
      <c r="D159" s="4">
        <v>45923</v>
      </c>
      <c r="E159" s="4">
        <f t="shared" si="12"/>
        <v>1</v>
      </c>
    </row>
    <row r="160" spans="3:7" x14ac:dyDescent="0.25">
      <c r="C160" s="4">
        <v>45712</v>
      </c>
      <c r="D160" s="4">
        <v>45926</v>
      </c>
      <c r="E160" s="4">
        <f t="shared" si="12"/>
        <v>0.8</v>
      </c>
    </row>
    <row r="161" spans="3:7" x14ac:dyDescent="0.25">
      <c r="C161" s="4">
        <v>45716</v>
      </c>
      <c r="D161" s="4">
        <v>45931</v>
      </c>
      <c r="E161" s="4">
        <f t="shared" si="12"/>
        <v>0.33333333333333331</v>
      </c>
    </row>
    <row r="162" spans="3:7" x14ac:dyDescent="0.25">
      <c r="C162" s="4">
        <v>45718</v>
      </c>
      <c r="D162" s="4">
        <v>45937</v>
      </c>
      <c r="E162" s="4">
        <f t="shared" si="12"/>
        <v>0.875</v>
      </c>
    </row>
    <row r="163" spans="3:7" x14ac:dyDescent="0.25">
      <c r="C163" s="4">
        <v>45725</v>
      </c>
      <c r="D163" s="4">
        <v>45945</v>
      </c>
      <c r="E163" s="4">
        <f t="shared" si="12"/>
        <v>1.0769230769230769</v>
      </c>
    </row>
    <row r="164" spans="3:7" x14ac:dyDescent="0.25">
      <c r="C164" s="4">
        <v>45739</v>
      </c>
      <c r="D164" s="4">
        <v>45958</v>
      </c>
      <c r="E164" s="4">
        <f t="shared" si="12"/>
        <v>0.7</v>
      </c>
    </row>
    <row r="165" spans="3:7" x14ac:dyDescent="0.25">
      <c r="C165" s="4">
        <v>45746</v>
      </c>
      <c r="D165" s="4">
        <v>45968</v>
      </c>
      <c r="E165" s="4">
        <f t="shared" si="12"/>
        <v>2</v>
      </c>
    </row>
    <row r="166" spans="3:7" x14ac:dyDescent="0.25">
      <c r="C166" s="4">
        <v>45752</v>
      </c>
      <c r="D166" s="4">
        <v>45971</v>
      </c>
      <c r="E166" s="4">
        <f t="shared" si="12"/>
        <v>0.5</v>
      </c>
    </row>
    <row r="167" spans="3:7" x14ac:dyDescent="0.25">
      <c r="C167" s="4">
        <v>45753</v>
      </c>
      <c r="D167" s="4">
        <v>45973</v>
      </c>
      <c r="E167" s="4">
        <f t="shared" si="12"/>
        <v>1</v>
      </c>
    </row>
    <row r="168" spans="3:7" x14ac:dyDescent="0.25">
      <c r="C168" s="4">
        <v>45755</v>
      </c>
      <c r="D168" s="4">
        <v>45975</v>
      </c>
      <c r="E168" s="4">
        <f t="shared" si="12"/>
        <v>0.9</v>
      </c>
    </row>
    <row r="169" spans="3:7" x14ac:dyDescent="0.25">
      <c r="C169" s="4">
        <v>45764</v>
      </c>
      <c r="D169" s="4">
        <v>45985</v>
      </c>
      <c r="E169" s="4">
        <f t="shared" si="12"/>
        <v>0.81690140845070425</v>
      </c>
    </row>
    <row r="170" spans="3:7" x14ac:dyDescent="0.25">
      <c r="C170" s="4">
        <v>45822</v>
      </c>
      <c r="D170" s="4">
        <v>46056</v>
      </c>
      <c r="E170" s="4">
        <f t="shared" si="12"/>
        <v>4.5</v>
      </c>
    </row>
    <row r="171" spans="3:7" x14ac:dyDescent="0.25">
      <c r="C171" s="4">
        <v>45831</v>
      </c>
      <c r="D171" s="4">
        <v>46058</v>
      </c>
      <c r="E171" s="4">
        <f t="shared" si="12"/>
        <v>0.375</v>
      </c>
    </row>
    <row r="172" spans="3:7" x14ac:dyDescent="0.25">
      <c r="C172" s="4">
        <v>45834</v>
      </c>
      <c r="D172" s="4">
        <v>46066</v>
      </c>
      <c r="E172" s="4">
        <f t="shared" si="12"/>
        <v>0.8571428571428571</v>
      </c>
    </row>
    <row r="173" spans="3:7" x14ac:dyDescent="0.25">
      <c r="C173" s="4">
        <v>45846</v>
      </c>
      <c r="D173" s="4">
        <v>46080</v>
      </c>
      <c r="E173" s="4">
        <f t="shared" si="12"/>
        <v>1.3846153846153846</v>
      </c>
    </row>
    <row r="174" spans="3:7" x14ac:dyDescent="0.25">
      <c r="C174" s="4">
        <v>45864</v>
      </c>
      <c r="D174" s="4">
        <v>46093</v>
      </c>
      <c r="E174" s="4">
        <f t="shared" si="12"/>
        <v>0.99503178356800381</v>
      </c>
      <c r="F174" s="1">
        <v>46088</v>
      </c>
      <c r="G174" s="4">
        <f>AVERAGE(E165:E174)</f>
        <v>1.3328691433776951</v>
      </c>
    </row>
    <row r="175" spans="3:7" x14ac:dyDescent="0.25">
      <c r="F175" s="4" t="e">
        <f>MAX(_xlfn.FORECAST.ETS(F174,C155:C174,D155:D174,30,1,1),MAX(C155:C174))</f>
        <v>#NUM!</v>
      </c>
    </row>
    <row r="176" spans="3:7" x14ac:dyDescent="0.25">
      <c r="F176" s="4">
        <f>MAX(C155:C174)</f>
        <v>45864</v>
      </c>
    </row>
    <row r="177" spans="6:6" x14ac:dyDescent="0.25">
      <c r="F177" s="1">
        <f>MAX(C155:C174)+MAX(0,(F174-D174)*G174)</f>
        <v>45864</v>
      </c>
    </row>
  </sheetData>
  <mergeCells count="7">
    <mergeCell ref="M9:O9"/>
    <mergeCell ref="M14:O15"/>
    <mergeCell ref="C98:E102"/>
    <mergeCell ref="M19:O27"/>
    <mergeCell ref="M42:O43"/>
    <mergeCell ref="H91:M100"/>
    <mergeCell ref="G41:H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D5C0-9A22-4045-8568-6873E7C641CF}">
  <dimension ref="A1:A18"/>
  <sheetViews>
    <sheetView workbookViewId="0">
      <selection activeCell="D10" sqref="D10"/>
    </sheetView>
  </sheetViews>
  <sheetFormatPr defaultRowHeight="15" x14ac:dyDescent="0.25"/>
  <sheetData>
    <row r="1" spans="1:1" x14ac:dyDescent="0.25">
      <c r="A1">
        <v>1.1666666666666667</v>
      </c>
    </row>
    <row r="2" spans="1:1" x14ac:dyDescent="0.25">
      <c r="A2">
        <v>1.2941176470588236</v>
      </c>
    </row>
    <row r="3" spans="1:1" x14ac:dyDescent="0.25">
      <c r="A3">
        <v>1.4761904761904763</v>
      </c>
    </row>
    <row r="4" spans="1:1" x14ac:dyDescent="0.25">
      <c r="A4">
        <v>1.4347826086956521</v>
      </c>
    </row>
    <row r="5" spans="1:1" x14ac:dyDescent="0.25">
      <c r="A5">
        <v>1.5</v>
      </c>
    </row>
    <row r="6" spans="1:1" x14ac:dyDescent="0.25">
      <c r="A6">
        <v>1.4038461538461537</v>
      </c>
    </row>
    <row r="7" spans="1:1" x14ac:dyDescent="0.25">
      <c r="A7">
        <v>1.3611111111111112</v>
      </c>
    </row>
    <row r="8" spans="1:1" x14ac:dyDescent="0.25">
      <c r="A8">
        <v>1.3214285714285714</v>
      </c>
    </row>
    <row r="9" spans="1:1" x14ac:dyDescent="0.25">
      <c r="A9">
        <v>1.4137931034482758</v>
      </c>
    </row>
    <row r="10" spans="1:1" x14ac:dyDescent="0.25">
      <c r="A10">
        <v>1.303030303030303</v>
      </c>
    </row>
    <row r="11" spans="1:1" x14ac:dyDescent="0.25">
      <c r="A11">
        <v>1.3157894736842106</v>
      </c>
    </row>
    <row r="12" spans="1:1" x14ac:dyDescent="0.25">
      <c r="A12">
        <v>1.3617021276595744</v>
      </c>
    </row>
    <row r="13" spans="1:1" x14ac:dyDescent="0.25">
      <c r="A13">
        <v>1.290909090909091</v>
      </c>
    </row>
    <row r="14" spans="1:1" x14ac:dyDescent="0.25">
      <c r="A14">
        <v>1.375</v>
      </c>
    </row>
    <row r="15" spans="1:1" x14ac:dyDescent="0.25">
      <c r="A15">
        <v>1.368421052631579</v>
      </c>
    </row>
    <row r="16" spans="1:1" x14ac:dyDescent="0.25">
      <c r="A16">
        <v>1.3559322033898304</v>
      </c>
    </row>
    <row r="17" spans="1:1" x14ac:dyDescent="0.25">
      <c r="A17">
        <v>1.3692307692307693</v>
      </c>
    </row>
    <row r="18" spans="1:1" x14ac:dyDescent="0.25">
      <c r="A18">
        <v>1.3707865168539326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714A-6723-45C3-9CD1-7271DA8D4FA7}">
  <dimension ref="B2:B3"/>
  <sheetViews>
    <sheetView workbookViewId="0">
      <selection activeCell="F37" sqref="F37"/>
    </sheetView>
  </sheetViews>
  <sheetFormatPr defaultRowHeight="15" x14ac:dyDescent="0.25"/>
  <cols>
    <col min="2" max="2" width="10.42578125" bestFit="1" customWidth="1"/>
  </cols>
  <sheetData>
    <row r="2" spans="2:2" x14ac:dyDescent="0.25">
      <c r="B2">
        <v>224</v>
      </c>
    </row>
    <row r="3" spans="2:2" x14ac:dyDescent="0.25">
      <c r="B3" s="1">
        <v>46021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62B3-3208-4F4C-A7AD-8C7304AAEE83}">
  <dimension ref="A1:U2148"/>
  <sheetViews>
    <sheetView workbookViewId="0">
      <selection activeCell="S24" sqref="S24"/>
    </sheetView>
  </sheetViews>
  <sheetFormatPr defaultRowHeight="15" x14ac:dyDescent="0.25"/>
  <cols>
    <col min="1" max="1" width="5.7109375" bestFit="1" customWidth="1"/>
    <col min="2" max="2" width="13.5703125" bestFit="1" customWidth="1"/>
    <col min="3" max="3" width="15" bestFit="1" customWidth="1"/>
    <col min="4" max="4" width="15.28515625" style="1" bestFit="1" customWidth="1"/>
    <col min="6" max="6" width="9.42578125" bestFit="1" customWidth="1"/>
    <col min="7" max="7" width="9.42578125" style="1" bestFit="1" customWidth="1"/>
    <col min="8" max="8" width="4" bestFit="1" customWidth="1"/>
    <col min="9" max="9" width="10.42578125" style="44" bestFit="1" customWidth="1"/>
    <col min="10" max="10" width="10.140625" bestFit="1" customWidth="1"/>
    <col min="11" max="11" width="9.42578125" bestFit="1" customWidth="1"/>
    <col min="14" max="14" width="10.42578125" bestFit="1" customWidth="1"/>
    <col min="18" max="18" width="9.42578125" bestFit="1" customWidth="1"/>
    <col min="21" max="21" width="10.140625" bestFit="1" customWidth="1"/>
  </cols>
  <sheetData>
    <row r="1" spans="1:21" x14ac:dyDescent="0.25">
      <c r="A1" s="42" t="s">
        <v>54</v>
      </c>
      <c r="B1" s="42" t="s">
        <v>55</v>
      </c>
      <c r="C1" s="42" t="s">
        <v>56</v>
      </c>
      <c r="D1" s="42" t="s">
        <v>57</v>
      </c>
    </row>
    <row r="2" spans="1:21" x14ac:dyDescent="0.25">
      <c r="A2" s="42">
        <f>ROW()-1</f>
        <v>1</v>
      </c>
      <c r="B2" s="42" cm="1">
        <f t="array" aca="1" ref="B2" ca="1">INDEX(Historical!$A$1:$A$18, RANDBETWEEN(1, COUNTA(Historical!$A$1:$A$18)))</f>
        <v>1.3157894736842106</v>
      </c>
      <c r="C2" s="42">
        <f ca="1">Inputs!$B$2/B2</f>
        <v>170.23999999999998</v>
      </c>
      <c r="D2" s="43">
        <f ca="1">WORKDAY(Inputs!$B$3, ROUND(C2, 0),Sheet2!$A$2:$A$21)</f>
        <v>46266</v>
      </c>
      <c r="F2" s="1">
        <f ca="1">MIN(D2:D2147)</f>
        <v>46237</v>
      </c>
      <c r="G2" s="1">
        <v>46237</v>
      </c>
      <c r="H2">
        <f ca="1">COUNTIF(D$2:D$2147,G2)</f>
        <v>129</v>
      </c>
      <c r="I2" s="44">
        <f ca="1">H2/COUNTA(D$2:D$2147)</f>
        <v>6.0111835973904938E-2</v>
      </c>
      <c r="J2" s="44">
        <f ca="1">SUM($I$2:I2)</f>
        <v>6.0111835973904938E-2</v>
      </c>
      <c r="K2" s="1">
        <f ca="1">_xlfn.PERCENTILE.INC(D$2:D$2147,0.1)</f>
        <v>46240</v>
      </c>
      <c r="R2" s="1">
        <v>46237</v>
      </c>
      <c r="S2">
        <v>126</v>
      </c>
      <c r="T2" s="44">
        <v>5.8713886300093193E-2</v>
      </c>
      <c r="U2" s="44">
        <v>5.8713886300093193E-2</v>
      </c>
    </row>
    <row r="3" spans="1:21" x14ac:dyDescent="0.25">
      <c r="A3" s="42">
        <f t="shared" ref="A3:A66" si="0">ROW()-1</f>
        <v>2</v>
      </c>
      <c r="B3" s="42" cm="1">
        <f t="array" aca="1" ref="B3" ca="1">INDEX(Historical!$A$1:$A$18, RANDBETWEEN(1, COUNTA(Historical!$A$1:$A$18)))</f>
        <v>1.3692307692307693</v>
      </c>
      <c r="C3" s="42">
        <f ca="1">Inputs!$B$2/B3</f>
        <v>163.59550561797752</v>
      </c>
      <c r="D3" s="43">
        <f ca="1">WORKDAY(Inputs!$B$3, ROUND(C3, 0),Sheet2!$A$2:$A$21)</f>
        <v>46258</v>
      </c>
      <c r="F3" s="1">
        <f ca="1">MAX(D2:D2147)</f>
        <v>46297</v>
      </c>
      <c r="G3" s="1">
        <f>WORKDAY(G2,1,Sheet2!$A$2:$A$21)</f>
        <v>46238</v>
      </c>
      <c r="H3">
        <f t="shared" ref="H3:H45" ca="1" si="1">COUNTIF(D$2:D$2147,G3)</f>
        <v>0</v>
      </c>
      <c r="I3" s="44">
        <f t="shared" ref="I3:I45" ca="1" si="2">H3/COUNTA(D$2:D$2147)</f>
        <v>0</v>
      </c>
      <c r="J3" s="44">
        <f ca="1">SUM($I$2:I3)</f>
        <v>6.0111835973904938E-2</v>
      </c>
      <c r="K3" s="1">
        <f ca="1">_xlfn.PERCENTILE.INC(D$2:D$2147,0.9)</f>
        <v>46273</v>
      </c>
      <c r="N3" s="1">
        <f ca="1">_xlfn.PERCENTILE.INC(D:D,0.4)</f>
        <v>46258</v>
      </c>
      <c r="R3" s="1">
        <v>46240</v>
      </c>
      <c r="S3">
        <v>117</v>
      </c>
      <c r="T3" s="44">
        <v>5.4520037278657965E-2</v>
      </c>
      <c r="U3" s="44">
        <v>0.11323392357875116</v>
      </c>
    </row>
    <row r="4" spans="1:21" x14ac:dyDescent="0.25">
      <c r="A4" s="42">
        <f t="shared" si="0"/>
        <v>3</v>
      </c>
      <c r="B4" s="42" cm="1">
        <f t="array" aca="1" ref="B4" ca="1">INDEX(Historical!$A$1:$A$18, RANDBETWEEN(1, COUNTA(Historical!$A$1:$A$18)))</f>
        <v>1.290909090909091</v>
      </c>
      <c r="C4" s="42">
        <f ca="1">Inputs!$B$2/B4</f>
        <v>173.52112676056336</v>
      </c>
      <c r="D4" s="43">
        <f ca="1">WORKDAY(Inputs!$B$3, ROUND(C4, 0),Sheet2!$A$2:$A$21)</f>
        <v>46273</v>
      </c>
      <c r="G4" s="1">
        <f>WORKDAY(G3,1,Sheet2!$A$2:$A$21)</f>
        <v>46239</v>
      </c>
      <c r="H4">
        <f t="shared" ca="1" si="1"/>
        <v>0</v>
      </c>
      <c r="I4" s="44">
        <f t="shared" ca="1" si="2"/>
        <v>0</v>
      </c>
      <c r="J4" s="44">
        <f ca="1">SUM($I$2:I4)</f>
        <v>6.0111835973904938E-2</v>
      </c>
      <c r="K4" s="1"/>
      <c r="N4" s="1">
        <f ca="1">_xlfn.PERCENTILE.INC(D:D,0.5)</f>
        <v>46259</v>
      </c>
      <c r="O4" s="1">
        <f ca="1">MEDIAN(D2:D2147)</f>
        <v>46259</v>
      </c>
      <c r="R4" s="1">
        <v>46246</v>
      </c>
      <c r="S4">
        <v>120</v>
      </c>
      <c r="T4" s="44">
        <v>5.591798695246971E-2</v>
      </c>
      <c r="U4" s="44">
        <v>0.16915191053122086</v>
      </c>
    </row>
    <row r="5" spans="1:21" x14ac:dyDescent="0.25">
      <c r="A5" s="42">
        <f t="shared" si="0"/>
        <v>4</v>
      </c>
      <c r="B5" s="42" cm="1">
        <f t="array" aca="1" ref="B5" ca="1">INDEX(Historical!$A$1:$A$18, RANDBETWEEN(1, COUNTA(Historical!$A$1:$A$18)))</f>
        <v>1.3559322033898304</v>
      </c>
      <c r="C5" s="42">
        <f ca="1">Inputs!$B$2/B5</f>
        <v>165.20000000000002</v>
      </c>
      <c r="D5" s="43">
        <f ca="1">WORKDAY(Inputs!$B$3, ROUND(C5, 0),Sheet2!$A$2:$A$21)</f>
        <v>46259</v>
      </c>
      <c r="G5" s="1">
        <f>WORKDAY(G4,1,Sheet2!$A$2:$A$21)</f>
        <v>46240</v>
      </c>
      <c r="H5">
        <f t="shared" ca="1" si="1"/>
        <v>110</v>
      </c>
      <c r="I5" s="44">
        <f t="shared" ca="1" si="2"/>
        <v>5.1258154706430567E-2</v>
      </c>
      <c r="J5" s="44">
        <f ca="1">SUM($I$2:I5)</f>
        <v>0.11136999068033551</v>
      </c>
      <c r="K5" s="1">
        <f ca="1">MEDIAN(D:D)</f>
        <v>46259</v>
      </c>
      <c r="N5" s="1">
        <f ca="1">_xlfn.PERCENTILE.INC(D:D, 0.8)</f>
        <v>46268</v>
      </c>
      <c r="R5" s="1">
        <v>46248</v>
      </c>
      <c r="S5">
        <v>122</v>
      </c>
      <c r="T5" s="44">
        <v>5.684995340167754E-2</v>
      </c>
      <c r="U5" s="44">
        <v>0.22600186393289839</v>
      </c>
    </row>
    <row r="6" spans="1:21" x14ac:dyDescent="0.25">
      <c r="A6" s="42">
        <f t="shared" si="0"/>
        <v>5</v>
      </c>
      <c r="B6" s="42" cm="1">
        <f t="array" aca="1" ref="B6" ca="1">INDEX(Historical!$A$1:$A$18, RANDBETWEEN(1, COUNTA(Historical!$A$1:$A$18)))</f>
        <v>1.3157894736842106</v>
      </c>
      <c r="C6" s="42">
        <f ca="1">Inputs!$B$2/B6</f>
        <v>170.23999999999998</v>
      </c>
      <c r="D6" s="43">
        <f ca="1">WORKDAY(Inputs!$B$3, ROUND(C6, 0),Sheet2!$A$2:$A$21)</f>
        <v>46266</v>
      </c>
      <c r="G6" s="1">
        <f>WORKDAY(G5,1,Sheet2!$A$2:$A$21)</f>
        <v>46241</v>
      </c>
      <c r="H6">
        <f t="shared" ca="1" si="1"/>
        <v>0</v>
      </c>
      <c r="I6" s="44">
        <f t="shared" ca="1" si="2"/>
        <v>0</v>
      </c>
      <c r="J6" s="44">
        <f ca="1">SUM($I$2:I6)</f>
        <v>0.11136999068033551</v>
      </c>
      <c r="N6" s="1">
        <f ca="1">_xlfn.PERCENTILE.INC(D:D, 0.95)</f>
        <v>46297</v>
      </c>
      <c r="R6" s="1">
        <v>46252</v>
      </c>
      <c r="S6">
        <v>120</v>
      </c>
      <c r="T6" s="44">
        <v>5.591798695246971E-2</v>
      </c>
      <c r="U6" s="44">
        <v>0.28191985088536808</v>
      </c>
    </row>
    <row r="7" spans="1:21" x14ac:dyDescent="0.25">
      <c r="A7" s="42">
        <f t="shared" si="0"/>
        <v>6</v>
      </c>
      <c r="B7" s="42" cm="1">
        <f t="array" aca="1" ref="B7" ca="1">INDEX(Historical!$A$1:$A$18, RANDBETWEEN(1, COUNTA(Historical!$A$1:$A$18)))</f>
        <v>1.4038461538461537</v>
      </c>
      <c r="C7" s="42">
        <f ca="1">Inputs!$B$2/B7</f>
        <v>159.56164383561645</v>
      </c>
      <c r="D7" s="43">
        <f ca="1">WORKDAY(Inputs!$B$3, ROUND(C7, 0),Sheet2!$A$2:$A$21)</f>
        <v>46252</v>
      </c>
      <c r="G7" s="1">
        <f>WORKDAY(G6,1,Sheet2!$A$2:$A$21)</f>
        <v>46244</v>
      </c>
      <c r="H7">
        <f t="shared" ca="1" si="1"/>
        <v>0</v>
      </c>
      <c r="I7" s="44">
        <f t="shared" ca="1" si="2"/>
        <v>0</v>
      </c>
      <c r="J7" s="44">
        <f ca="1">SUM($I$2:I7)</f>
        <v>0.11136999068033551</v>
      </c>
      <c r="R7" s="1">
        <v>46255</v>
      </c>
      <c r="S7">
        <v>221</v>
      </c>
      <c r="T7" s="44">
        <v>0.10298229263746506</v>
      </c>
      <c r="U7" s="44">
        <v>0.38490214352283314</v>
      </c>
    </row>
    <row r="8" spans="1:21" x14ac:dyDescent="0.25">
      <c r="A8" s="42">
        <f t="shared" si="0"/>
        <v>7</v>
      </c>
      <c r="B8" s="42" cm="1">
        <f t="array" aca="1" ref="B8" ca="1">INDEX(Historical!$A$1:$A$18, RANDBETWEEN(1, COUNTA(Historical!$A$1:$A$18)))</f>
        <v>1.3214285714285714</v>
      </c>
      <c r="C8" s="42">
        <f ca="1">Inputs!$B$2/B8</f>
        <v>169.51351351351352</v>
      </c>
      <c r="D8" s="43">
        <f ca="1">WORKDAY(Inputs!$B$3, ROUND(C8, 0),Sheet2!$A$2:$A$21)</f>
        <v>46266</v>
      </c>
      <c r="G8" s="1">
        <f>WORKDAY(G7,1,Sheet2!$A$2:$A$21)</f>
        <v>46245</v>
      </c>
      <c r="H8">
        <f t="shared" ca="1" si="1"/>
        <v>0</v>
      </c>
      <c r="I8" s="44">
        <f t="shared" ca="1" si="2"/>
        <v>0</v>
      </c>
      <c r="J8" s="44">
        <f ca="1">SUM($I$2:I8)</f>
        <v>0.11136999068033551</v>
      </c>
      <c r="R8" s="1">
        <v>46258</v>
      </c>
      <c r="S8">
        <v>236</v>
      </c>
      <c r="T8" s="44">
        <v>0.10997204100652376</v>
      </c>
      <c r="U8" s="44">
        <v>0.49487418452935689</v>
      </c>
    </row>
    <row r="9" spans="1:21" x14ac:dyDescent="0.25">
      <c r="A9" s="42">
        <f t="shared" si="0"/>
        <v>8</v>
      </c>
      <c r="B9" s="42" cm="1">
        <f t="array" aca="1" ref="B9" ca="1">INDEX(Historical!$A$1:$A$18, RANDBETWEEN(1, COUNTA(Historical!$A$1:$A$18)))</f>
        <v>1.4761904761904763</v>
      </c>
      <c r="C9" s="42">
        <f ca="1">Inputs!$B$2/B9</f>
        <v>151.74193548387095</v>
      </c>
      <c r="D9" s="43">
        <f ca="1">WORKDAY(Inputs!$B$3, ROUND(C9, 0),Sheet2!$A$2:$A$21)</f>
        <v>46240</v>
      </c>
      <c r="G9" s="1">
        <f>WORKDAY(G8,1,Sheet2!$A$2:$A$21)</f>
        <v>46246</v>
      </c>
      <c r="H9">
        <f ca="1">COUNTIF(D$2:D$2147,G9)</f>
        <v>123</v>
      </c>
      <c r="I9" s="44">
        <f t="shared" ca="1" si="2"/>
        <v>5.7315936626281455E-2</v>
      </c>
      <c r="J9" s="44">
        <f ca="1">SUM($I$2:I9)</f>
        <v>0.16868592730661697</v>
      </c>
      <c r="R9" s="1">
        <v>46259</v>
      </c>
      <c r="S9">
        <v>373</v>
      </c>
      <c r="T9" s="44">
        <v>0.17381174277726003</v>
      </c>
      <c r="U9" s="44">
        <v>0.66868592730661691</v>
      </c>
    </row>
    <row r="10" spans="1:21" x14ac:dyDescent="0.25">
      <c r="A10" s="42">
        <f t="shared" si="0"/>
        <v>9</v>
      </c>
      <c r="B10" s="42" cm="1">
        <f t="array" aca="1" ref="B10" ca="1">INDEX(Historical!$A$1:$A$18, RANDBETWEEN(1, COUNTA(Historical!$A$1:$A$18)))</f>
        <v>1.4038461538461537</v>
      </c>
      <c r="C10" s="42">
        <f ca="1">Inputs!$B$2/B10</f>
        <v>159.56164383561645</v>
      </c>
      <c r="D10" s="43">
        <f ca="1">WORKDAY(Inputs!$B$3, ROUND(C10, 0),Sheet2!$A$2:$A$21)</f>
        <v>46252</v>
      </c>
      <c r="G10" s="1">
        <f>WORKDAY(G9,1,Sheet2!$A$2:$A$21)</f>
        <v>46247</v>
      </c>
      <c r="H10">
        <f t="shared" ca="1" si="1"/>
        <v>0</v>
      </c>
      <c r="I10" s="44">
        <f t="shared" ca="1" si="2"/>
        <v>0</v>
      </c>
      <c r="J10" s="44">
        <f ca="1">SUM($I$2:I10)</f>
        <v>0.16868592730661697</v>
      </c>
      <c r="R10" s="1">
        <v>46266</v>
      </c>
      <c r="S10">
        <v>235</v>
      </c>
      <c r="T10" s="44">
        <v>0.10950605778191985</v>
      </c>
      <c r="U10" s="44">
        <v>0.77819198508853682</v>
      </c>
    </row>
    <row r="11" spans="1:21" x14ac:dyDescent="0.25">
      <c r="A11" s="42">
        <f t="shared" si="0"/>
        <v>10</v>
      </c>
      <c r="B11" s="42" cm="1">
        <f t="array" aca="1" ref="B11" ca="1">INDEX(Historical!$A$1:$A$18, RANDBETWEEN(1, COUNTA(Historical!$A$1:$A$18)))</f>
        <v>1.3707865168539326</v>
      </c>
      <c r="C11" s="42">
        <f ca="1">Inputs!$B$2/B11</f>
        <v>163.40983606557376</v>
      </c>
      <c r="D11" s="43">
        <f ca="1">WORKDAY(Inputs!$B$3, ROUND(C11, 0),Sheet2!$A$2:$A$21)</f>
        <v>46255</v>
      </c>
      <c r="G11" s="1">
        <f>WORKDAY(G10,1,Sheet2!$A$2:$A$21)</f>
        <v>46248</v>
      </c>
      <c r="H11">
        <f t="shared" ca="1" si="1"/>
        <v>115</v>
      </c>
      <c r="I11" s="44">
        <f t="shared" ca="1" si="2"/>
        <v>5.3588070829450142E-2</v>
      </c>
      <c r="J11" s="44">
        <f ca="1">SUM($I$2:I11)</f>
        <v>0.2222739981360671</v>
      </c>
      <c r="R11" s="1">
        <v>46268</v>
      </c>
      <c r="S11">
        <v>118</v>
      </c>
      <c r="T11" s="44">
        <v>5.498602050326188E-2</v>
      </c>
      <c r="U11" s="44">
        <v>0.83317800559179866</v>
      </c>
    </row>
    <row r="12" spans="1:21" x14ac:dyDescent="0.25">
      <c r="A12" s="42">
        <f t="shared" si="0"/>
        <v>11</v>
      </c>
      <c r="B12" s="42" cm="1">
        <f t="array" aca="1" ref="B12" ca="1">INDEX(Historical!$A$1:$A$18, RANDBETWEEN(1, COUNTA(Historical!$A$1:$A$18)))</f>
        <v>1.3707865168539326</v>
      </c>
      <c r="C12" s="42">
        <f ca="1">Inputs!$B$2/B12</f>
        <v>163.40983606557376</v>
      </c>
      <c r="D12" s="43">
        <f ca="1">WORKDAY(Inputs!$B$3, ROUND(C12, 0),Sheet2!$A$2:$A$21)</f>
        <v>46255</v>
      </c>
      <c r="G12" s="1">
        <f>WORKDAY(G11,1,Sheet2!$A$2:$A$21)</f>
        <v>46251</v>
      </c>
      <c r="H12">
        <f t="shared" ca="1" si="1"/>
        <v>0</v>
      </c>
      <c r="I12" s="44">
        <f t="shared" ca="1" si="2"/>
        <v>0</v>
      </c>
      <c r="J12" s="44">
        <f ca="1">SUM($I$2:I12)</f>
        <v>0.2222739981360671</v>
      </c>
      <c r="R12" s="1">
        <v>46269</v>
      </c>
      <c r="S12">
        <v>106</v>
      </c>
      <c r="T12" s="44">
        <v>4.9394221808014914E-2</v>
      </c>
      <c r="U12" s="44">
        <v>0.88257222739981356</v>
      </c>
    </row>
    <row r="13" spans="1:21" x14ac:dyDescent="0.25">
      <c r="A13" s="42">
        <f t="shared" si="0"/>
        <v>12</v>
      </c>
      <c r="B13" s="42" cm="1">
        <f t="array" aca="1" ref="B13" ca="1">INDEX(Historical!$A$1:$A$18, RANDBETWEEN(1, COUNTA(Historical!$A$1:$A$18)))</f>
        <v>1.4761904761904763</v>
      </c>
      <c r="C13" s="42">
        <f ca="1">Inputs!$B$2/B13</f>
        <v>151.74193548387095</v>
      </c>
      <c r="D13" s="43">
        <f ca="1">WORKDAY(Inputs!$B$3, ROUND(C13, 0),Sheet2!$A$2:$A$21)</f>
        <v>46240</v>
      </c>
      <c r="G13" s="1">
        <f>WORKDAY(G12,1,Sheet2!$A$2:$A$21)</f>
        <v>46252</v>
      </c>
      <c r="H13">
        <f t="shared" ca="1" si="1"/>
        <v>108</v>
      </c>
      <c r="I13" s="44">
        <f t="shared" ca="1" si="2"/>
        <v>5.0326188257222737E-2</v>
      </c>
      <c r="J13" s="44">
        <f ca="1">SUM($I$2:I13)</f>
        <v>0.27260018639328987</v>
      </c>
      <c r="R13" s="1">
        <v>46273</v>
      </c>
      <c r="S13">
        <v>128</v>
      </c>
      <c r="T13" s="44">
        <v>5.9645852749301023E-2</v>
      </c>
      <c r="U13" s="44">
        <v>0.94221808014911457</v>
      </c>
    </row>
    <row r="14" spans="1:21" x14ac:dyDescent="0.25">
      <c r="A14" s="42">
        <f t="shared" si="0"/>
        <v>13</v>
      </c>
      <c r="B14" s="42" cm="1">
        <f t="array" aca="1" ref="B14" ca="1">INDEX(Historical!$A$1:$A$18, RANDBETWEEN(1, COUNTA(Historical!$A$1:$A$18)))</f>
        <v>1.4137931034482758</v>
      </c>
      <c r="C14" s="42">
        <f ca="1">Inputs!$B$2/B14</f>
        <v>158.4390243902439</v>
      </c>
      <c r="D14" s="43">
        <f ca="1">WORKDAY(Inputs!$B$3, ROUND(C14, 0),Sheet2!$A$2:$A$21)</f>
        <v>46248</v>
      </c>
      <c r="G14" s="1">
        <f>WORKDAY(G13,1,Sheet2!$A$2:$A$21)</f>
        <v>46253</v>
      </c>
      <c r="H14">
        <f t="shared" ca="1" si="1"/>
        <v>0</v>
      </c>
      <c r="I14" s="44">
        <f t="shared" ca="1" si="2"/>
        <v>0</v>
      </c>
      <c r="J14" s="44">
        <f ca="1">SUM($I$2:I14)</f>
        <v>0.27260018639328987</v>
      </c>
      <c r="R14" s="1">
        <v>46297</v>
      </c>
      <c r="S14">
        <v>124</v>
      </c>
      <c r="T14" s="44">
        <v>5.778191985088537E-2</v>
      </c>
      <c r="U14" s="44">
        <v>0.99999999999999989</v>
      </c>
    </row>
    <row r="15" spans="1:21" x14ac:dyDescent="0.25">
      <c r="A15" s="42">
        <f t="shared" si="0"/>
        <v>14</v>
      </c>
      <c r="B15" s="42" cm="1">
        <f t="array" aca="1" ref="B15" ca="1">INDEX(Historical!$A$1:$A$18, RANDBETWEEN(1, COUNTA(Historical!$A$1:$A$18)))</f>
        <v>1.2941176470588236</v>
      </c>
      <c r="C15" s="42">
        <f ca="1">Inputs!$B$2/B15</f>
        <v>173.09090909090909</v>
      </c>
      <c r="D15" s="43">
        <f ca="1">WORKDAY(Inputs!$B$3, ROUND(C15, 0),Sheet2!$A$2:$A$21)</f>
        <v>46269</v>
      </c>
      <c r="G15" s="1">
        <f>WORKDAY(G14,1,Sheet2!$A$2:$A$21)</f>
        <v>46254</v>
      </c>
      <c r="H15">
        <f t="shared" ca="1" si="1"/>
        <v>0</v>
      </c>
      <c r="I15" s="44">
        <f t="shared" ca="1" si="2"/>
        <v>0</v>
      </c>
      <c r="J15" s="44">
        <f ca="1">SUM($I$2:I15)</f>
        <v>0.27260018639328987</v>
      </c>
    </row>
    <row r="16" spans="1:21" x14ac:dyDescent="0.25">
      <c r="A16" s="42">
        <f t="shared" si="0"/>
        <v>15</v>
      </c>
      <c r="B16" s="42" cm="1">
        <f t="array" aca="1" ref="B16" ca="1">INDEX(Historical!$A$1:$A$18, RANDBETWEEN(1, COUNTA(Historical!$A$1:$A$18)))</f>
        <v>1.4137931034482758</v>
      </c>
      <c r="C16" s="42">
        <f ca="1">Inputs!$B$2/B16</f>
        <v>158.4390243902439</v>
      </c>
      <c r="D16" s="43">
        <f ca="1">WORKDAY(Inputs!$B$3, ROUND(C16, 0),Sheet2!$A$2:$A$21)</f>
        <v>46248</v>
      </c>
      <c r="G16" s="1">
        <f>WORKDAY(G15,1,Sheet2!$A$2:$A$21)</f>
        <v>46255</v>
      </c>
      <c r="H16">
        <f t="shared" ca="1" si="1"/>
        <v>241</v>
      </c>
      <c r="I16" s="44">
        <f t="shared" ca="1" si="2"/>
        <v>0.11230195712954334</v>
      </c>
      <c r="J16" s="44">
        <f ca="1">SUM($I$2:I16)</f>
        <v>0.3849021435228332</v>
      </c>
    </row>
    <row r="17" spans="1:18" x14ac:dyDescent="0.25">
      <c r="A17" s="42">
        <f t="shared" si="0"/>
        <v>16</v>
      </c>
      <c r="B17" s="42" cm="1">
        <f t="array" aca="1" ref="B17" ca="1">INDEX(Historical!$A$1:$A$18, RANDBETWEEN(1, COUNTA(Historical!$A$1:$A$18)))</f>
        <v>1.290909090909091</v>
      </c>
      <c r="C17" s="42">
        <f ca="1">Inputs!$B$2/B17</f>
        <v>173.52112676056336</v>
      </c>
      <c r="D17" s="43">
        <f ca="1">WORKDAY(Inputs!$B$3, ROUND(C17, 0),Sheet2!$A$2:$A$21)</f>
        <v>46273</v>
      </c>
      <c r="G17" s="1">
        <f>WORKDAY(G16,1,Sheet2!$A$2:$A$21)</f>
        <v>46258</v>
      </c>
      <c r="H17">
        <f t="shared" ca="1" si="1"/>
        <v>235</v>
      </c>
      <c r="I17" s="44">
        <f t="shared" ca="1" si="2"/>
        <v>0.10950605778191985</v>
      </c>
      <c r="J17" s="44">
        <f ca="1">SUM($I$2:I17)</f>
        <v>0.49440820130475305</v>
      </c>
    </row>
    <row r="18" spans="1:18" x14ac:dyDescent="0.25">
      <c r="A18" s="42">
        <f t="shared" si="0"/>
        <v>17</v>
      </c>
      <c r="B18" s="42" cm="1">
        <f t="array" aca="1" ref="B18" ca="1">INDEX(Historical!$A$1:$A$18, RANDBETWEEN(1, COUNTA(Historical!$A$1:$A$18)))</f>
        <v>1.3157894736842106</v>
      </c>
      <c r="C18" s="42">
        <f ca="1">Inputs!$B$2/B18</f>
        <v>170.23999999999998</v>
      </c>
      <c r="D18" s="43">
        <f ca="1">WORKDAY(Inputs!$B$3, ROUND(C18, 0),Sheet2!$A$2:$A$21)</f>
        <v>46266</v>
      </c>
      <c r="G18" s="1">
        <f>WORKDAY(G17,1,Sheet2!$A$2:$A$21)</f>
        <v>46259</v>
      </c>
      <c r="H18">
        <f t="shared" ca="1" si="1"/>
        <v>360</v>
      </c>
      <c r="I18" s="44">
        <f t="shared" ca="1" si="2"/>
        <v>0.16775396085740912</v>
      </c>
      <c r="J18" s="44">
        <f ca="1">SUM($I$2:I18)</f>
        <v>0.66216216216216217</v>
      </c>
    </row>
    <row r="19" spans="1:18" x14ac:dyDescent="0.25">
      <c r="A19" s="42">
        <f t="shared" si="0"/>
        <v>18</v>
      </c>
      <c r="B19" s="42" cm="1">
        <f t="array" aca="1" ref="B19" ca="1">INDEX(Historical!$A$1:$A$18, RANDBETWEEN(1, COUNTA(Historical!$A$1:$A$18)))</f>
        <v>1.368421052631579</v>
      </c>
      <c r="C19" s="42">
        <f ca="1">Inputs!$B$2/B19</f>
        <v>163.69230769230768</v>
      </c>
      <c r="D19" s="43">
        <f ca="1">WORKDAY(Inputs!$B$3, ROUND(C19, 0),Sheet2!$A$2:$A$21)</f>
        <v>46258</v>
      </c>
      <c r="G19" s="1">
        <f>WORKDAY(G18,1,Sheet2!$A$2:$A$21)</f>
        <v>46260</v>
      </c>
      <c r="H19">
        <f t="shared" ca="1" si="1"/>
        <v>0</v>
      </c>
      <c r="I19" s="44">
        <f t="shared" ca="1" si="2"/>
        <v>0</v>
      </c>
      <c r="J19" s="44">
        <f ca="1">SUM($I$2:I19)</f>
        <v>0.66216216216216217</v>
      </c>
    </row>
    <row r="20" spans="1:18" x14ac:dyDescent="0.25">
      <c r="A20" s="42">
        <f t="shared" si="0"/>
        <v>19</v>
      </c>
      <c r="B20" s="42" cm="1">
        <f t="array" aca="1" ref="B20" ca="1">INDEX(Historical!$A$1:$A$18, RANDBETWEEN(1, COUNTA(Historical!$A$1:$A$18)))</f>
        <v>1.375</v>
      </c>
      <c r="C20" s="42">
        <f ca="1">Inputs!$B$2/B20</f>
        <v>162.90909090909091</v>
      </c>
      <c r="D20" s="43">
        <f ca="1">WORKDAY(Inputs!$B$3, ROUND(C20, 0),Sheet2!$A$2:$A$21)</f>
        <v>46255</v>
      </c>
      <c r="G20" s="1">
        <f>WORKDAY(G19,1,Sheet2!$A$2:$A$21)</f>
        <v>46261</v>
      </c>
      <c r="H20">
        <f t="shared" ca="1" si="1"/>
        <v>0</v>
      </c>
      <c r="I20" s="44">
        <f t="shared" ca="1" si="2"/>
        <v>0</v>
      </c>
      <c r="J20" s="44">
        <f ca="1">SUM($I$2:I20)</f>
        <v>0.66216216216216217</v>
      </c>
    </row>
    <row r="21" spans="1:18" x14ac:dyDescent="0.25">
      <c r="A21" s="42">
        <f t="shared" si="0"/>
        <v>20</v>
      </c>
      <c r="B21" s="42" cm="1">
        <f t="array" aca="1" ref="B21" ca="1">INDEX(Historical!$A$1:$A$18, RANDBETWEEN(1, COUNTA(Historical!$A$1:$A$18)))</f>
        <v>1.4137931034482758</v>
      </c>
      <c r="C21" s="42">
        <f ca="1">Inputs!$B$2/B21</f>
        <v>158.4390243902439</v>
      </c>
      <c r="D21" s="43">
        <f ca="1">WORKDAY(Inputs!$B$3, ROUND(C21, 0),Sheet2!$A$2:$A$21)</f>
        <v>46248</v>
      </c>
      <c r="G21" s="1">
        <f>WORKDAY(G20,1,Sheet2!$A$2:$A$21)</f>
        <v>46262</v>
      </c>
      <c r="H21">
        <f t="shared" ca="1" si="1"/>
        <v>0</v>
      </c>
      <c r="I21" s="44">
        <f t="shared" ca="1" si="2"/>
        <v>0</v>
      </c>
      <c r="J21" s="44">
        <f ca="1">SUM($I$2:I21)</f>
        <v>0.66216216216216217</v>
      </c>
    </row>
    <row r="22" spans="1:18" x14ac:dyDescent="0.25">
      <c r="A22" s="42">
        <f t="shared" si="0"/>
        <v>21</v>
      </c>
      <c r="B22" s="42" cm="1">
        <f t="array" aca="1" ref="B22" ca="1">INDEX(Historical!$A$1:$A$18, RANDBETWEEN(1, COUNTA(Historical!$A$1:$A$18)))</f>
        <v>1.303030303030303</v>
      </c>
      <c r="C22" s="42">
        <f ca="1">Inputs!$B$2/B22</f>
        <v>171.90697674418604</v>
      </c>
      <c r="D22" s="43">
        <f ca="1">WORKDAY(Inputs!$B$3, ROUND(C22, 0),Sheet2!$A$2:$A$21)</f>
        <v>46268</v>
      </c>
      <c r="G22" s="1">
        <f>WORKDAY(G21,1,Sheet2!$A$2:$A$21)</f>
        <v>46265</v>
      </c>
      <c r="H22">
        <f t="shared" ca="1" si="1"/>
        <v>0</v>
      </c>
      <c r="I22" s="44">
        <f t="shared" ca="1" si="2"/>
        <v>0</v>
      </c>
      <c r="J22" s="44">
        <f ca="1">SUM($I$2:I22)</f>
        <v>0.66216216216216217</v>
      </c>
    </row>
    <row r="23" spans="1:18" x14ac:dyDescent="0.25">
      <c r="A23" s="42">
        <f t="shared" si="0"/>
        <v>22</v>
      </c>
      <c r="B23" s="42" cm="1">
        <f t="array" aca="1" ref="B23" ca="1">INDEX(Historical!$A$1:$A$18, RANDBETWEEN(1, COUNTA(Historical!$A$1:$A$18)))</f>
        <v>1.4347826086956521</v>
      </c>
      <c r="C23" s="42">
        <f ca="1">Inputs!$B$2/B23</f>
        <v>156.12121212121212</v>
      </c>
      <c r="D23" s="43">
        <f ca="1">WORKDAY(Inputs!$B$3, ROUND(C23, 0),Sheet2!$A$2:$A$21)</f>
        <v>46246</v>
      </c>
      <c r="G23" s="1">
        <f>WORKDAY(G22,1,Sheet2!$A$2:$A$21)</f>
        <v>46266</v>
      </c>
      <c r="H23">
        <f t="shared" ca="1" si="1"/>
        <v>255</v>
      </c>
      <c r="I23" s="44">
        <f t="shared" ca="1" si="2"/>
        <v>0.11882572227399814</v>
      </c>
      <c r="J23" s="44">
        <f ca="1">SUM($I$2:I23)</f>
        <v>0.7809878844361603</v>
      </c>
    </row>
    <row r="24" spans="1:18" x14ac:dyDescent="0.25">
      <c r="A24" s="42">
        <f t="shared" si="0"/>
        <v>23</v>
      </c>
      <c r="B24" s="42" cm="1">
        <f t="array" aca="1" ref="B24" ca="1">INDEX(Historical!$A$1:$A$18, RANDBETWEEN(1, COUNTA(Historical!$A$1:$A$18)))</f>
        <v>1.3214285714285714</v>
      </c>
      <c r="C24" s="42">
        <f ca="1">Inputs!$B$2/B24</f>
        <v>169.51351351351352</v>
      </c>
      <c r="D24" s="43">
        <f ca="1">WORKDAY(Inputs!$B$3, ROUND(C24, 0),Sheet2!$A$2:$A$21)</f>
        <v>46266</v>
      </c>
      <c r="G24" s="1">
        <f>WORKDAY(G23,1,Sheet2!$A$2:$A$21)</f>
        <v>46267</v>
      </c>
      <c r="H24">
        <f t="shared" ca="1" si="1"/>
        <v>0</v>
      </c>
      <c r="I24" s="44">
        <f t="shared" ca="1" si="2"/>
        <v>0</v>
      </c>
      <c r="J24" s="44">
        <f ca="1">SUM($I$2:I24)</f>
        <v>0.7809878844361603</v>
      </c>
    </row>
    <row r="25" spans="1:18" x14ac:dyDescent="0.25">
      <c r="A25" s="42">
        <f t="shared" si="0"/>
        <v>24</v>
      </c>
      <c r="B25" s="42" cm="1">
        <f t="array" aca="1" ref="B25" ca="1">INDEX(Historical!$A$1:$A$18, RANDBETWEEN(1, COUNTA(Historical!$A$1:$A$18)))</f>
        <v>1.3611111111111112</v>
      </c>
      <c r="C25" s="42">
        <f ca="1">Inputs!$B$2/B25</f>
        <v>164.57142857142856</v>
      </c>
      <c r="D25" s="43">
        <f ca="1">WORKDAY(Inputs!$B$3, ROUND(C25, 0),Sheet2!$A$2:$A$21)</f>
        <v>46259</v>
      </c>
      <c r="G25" s="1">
        <f>WORKDAY(G24,1,Sheet2!$A$2:$A$21)</f>
        <v>46268</v>
      </c>
      <c r="H25">
        <f t="shared" ca="1" si="1"/>
        <v>113</v>
      </c>
      <c r="I25" s="44">
        <f t="shared" ca="1" si="2"/>
        <v>5.2656104380242312E-2</v>
      </c>
      <c r="J25" s="44">
        <f ca="1">SUM($I$2:I25)</f>
        <v>0.83364398881640256</v>
      </c>
    </row>
    <row r="26" spans="1:18" x14ac:dyDescent="0.25">
      <c r="A26" s="42">
        <f t="shared" si="0"/>
        <v>25</v>
      </c>
      <c r="B26" s="42" cm="1">
        <f t="array" aca="1" ref="B26" ca="1">INDEX(Historical!$A$1:$A$18, RANDBETWEEN(1, COUNTA(Historical!$A$1:$A$18)))</f>
        <v>1.5</v>
      </c>
      <c r="C26" s="42">
        <f ca="1">Inputs!$B$2/B26</f>
        <v>149.33333333333334</v>
      </c>
      <c r="D26" s="43">
        <f ca="1">WORKDAY(Inputs!$B$3, ROUND(C26, 0),Sheet2!$A$2:$A$21)</f>
        <v>46237</v>
      </c>
      <c r="G26" s="1">
        <f>WORKDAY(G25,1,Sheet2!$A$2:$A$21)</f>
        <v>46269</v>
      </c>
      <c r="H26">
        <f t="shared" ca="1" si="1"/>
        <v>113</v>
      </c>
      <c r="I26" s="44">
        <f t="shared" ca="1" si="2"/>
        <v>5.2656104380242312E-2</v>
      </c>
      <c r="J26" s="44">
        <f ca="1">SUM($I$2:I26)</f>
        <v>0.88630009319664482</v>
      </c>
    </row>
    <row r="27" spans="1:18" x14ac:dyDescent="0.25">
      <c r="A27" s="42">
        <f t="shared" si="0"/>
        <v>26</v>
      </c>
      <c r="B27" s="42" cm="1">
        <f t="array" aca="1" ref="B27" ca="1">INDEX(Historical!$A$1:$A$18, RANDBETWEEN(1, COUNTA(Historical!$A$1:$A$18)))</f>
        <v>1.3214285714285714</v>
      </c>
      <c r="C27" s="42">
        <f ca="1">Inputs!$B$2/B27</f>
        <v>169.51351351351352</v>
      </c>
      <c r="D27" s="43">
        <f ca="1">WORKDAY(Inputs!$B$3, ROUND(C27, 0),Sheet2!$A$2:$A$21)</f>
        <v>46266</v>
      </c>
      <c r="G27" s="1">
        <f>WORKDAY(G26,1,Sheet2!$A$2:$A$21)</f>
        <v>46273</v>
      </c>
      <c r="H27">
        <f t="shared" ca="1" si="1"/>
        <v>121</v>
      </c>
      <c r="I27" s="44">
        <f t="shared" ca="1" si="2"/>
        <v>5.6383970177073625E-2</v>
      </c>
      <c r="J27" s="44">
        <f ca="1">SUM($I$2:I27)</f>
        <v>0.94268406337371846</v>
      </c>
      <c r="R27" s="1">
        <f ca="1">_xlfn.PERCENTILE.INC(D:D,0.28)</f>
        <v>46255</v>
      </c>
    </row>
    <row r="28" spans="1:18" x14ac:dyDescent="0.25">
      <c r="A28" s="42">
        <f t="shared" si="0"/>
        <v>27</v>
      </c>
      <c r="B28" s="42" cm="1">
        <f t="array" aca="1" ref="B28" ca="1">INDEX(Historical!$A$1:$A$18, RANDBETWEEN(1, COUNTA(Historical!$A$1:$A$18)))</f>
        <v>1.3214285714285714</v>
      </c>
      <c r="C28" s="42">
        <f ca="1">Inputs!$B$2/B28</f>
        <v>169.51351351351352</v>
      </c>
      <c r="D28" s="43">
        <f ca="1">WORKDAY(Inputs!$B$3, ROUND(C28, 0),Sheet2!$A$2:$A$21)</f>
        <v>46266</v>
      </c>
      <c r="G28" s="1">
        <f>WORKDAY(G27,1,Sheet2!$A$2:$A$21)</f>
        <v>46274</v>
      </c>
      <c r="H28">
        <f t="shared" ca="1" si="1"/>
        <v>0</v>
      </c>
      <c r="I28" s="44">
        <f t="shared" ca="1" si="2"/>
        <v>0</v>
      </c>
      <c r="J28" s="44">
        <f ca="1">SUM($I$2:I28)</f>
        <v>0.94268406337371846</v>
      </c>
      <c r="R28" s="1">
        <f ca="1">_xlfn.PERCENTILE.INC(D:D,0.8)</f>
        <v>46268</v>
      </c>
    </row>
    <row r="29" spans="1:18" x14ac:dyDescent="0.25">
      <c r="A29" s="42">
        <f t="shared" si="0"/>
        <v>28</v>
      </c>
      <c r="B29" s="42" cm="1">
        <f t="array" aca="1" ref="B29" ca="1">INDEX(Historical!$A$1:$A$18, RANDBETWEEN(1, COUNTA(Historical!$A$1:$A$18)))</f>
        <v>1.1666666666666667</v>
      </c>
      <c r="C29" s="42">
        <f ca="1">Inputs!$B$2/B29</f>
        <v>192</v>
      </c>
      <c r="D29" s="43">
        <f ca="1">WORKDAY(Inputs!$B$3, ROUND(C29, 0),Sheet2!$A$2:$A$21)</f>
        <v>46297</v>
      </c>
      <c r="G29" s="1">
        <f>WORKDAY(G28,1,Sheet2!$A$2:$A$21)</f>
        <v>46275</v>
      </c>
      <c r="H29">
        <f t="shared" ca="1" si="1"/>
        <v>0</v>
      </c>
      <c r="I29" s="44">
        <f t="shared" ca="1" si="2"/>
        <v>0</v>
      </c>
      <c r="J29" s="44">
        <f ca="1">SUM($I$2:I29)</f>
        <v>0.94268406337371846</v>
      </c>
    </row>
    <row r="30" spans="1:18" x14ac:dyDescent="0.25">
      <c r="A30" s="42">
        <f t="shared" si="0"/>
        <v>29</v>
      </c>
      <c r="B30" s="42" cm="1">
        <f t="array" aca="1" ref="B30" ca="1">INDEX(Historical!$A$1:$A$18, RANDBETWEEN(1, COUNTA(Historical!$A$1:$A$18)))</f>
        <v>1.1666666666666667</v>
      </c>
      <c r="C30" s="42">
        <f ca="1">Inputs!$B$2/B30</f>
        <v>192</v>
      </c>
      <c r="D30" s="43">
        <f ca="1">WORKDAY(Inputs!$B$3, ROUND(C30, 0),Sheet2!$A$2:$A$21)</f>
        <v>46297</v>
      </c>
      <c r="G30" s="1">
        <f>WORKDAY(G29,1,Sheet2!$A$2:$A$21)</f>
        <v>46276</v>
      </c>
      <c r="H30">
        <f t="shared" ca="1" si="1"/>
        <v>0</v>
      </c>
      <c r="I30" s="44">
        <f t="shared" ca="1" si="2"/>
        <v>0</v>
      </c>
      <c r="J30" s="44">
        <f ca="1">SUM($I$2:I30)</f>
        <v>0.94268406337371846</v>
      </c>
    </row>
    <row r="31" spans="1:18" x14ac:dyDescent="0.25">
      <c r="A31" s="42">
        <f t="shared" si="0"/>
        <v>30</v>
      </c>
      <c r="B31" s="42" cm="1">
        <f t="array" aca="1" ref="B31" ca="1">INDEX(Historical!$A$1:$A$18, RANDBETWEEN(1, COUNTA(Historical!$A$1:$A$18)))</f>
        <v>1.4761904761904763</v>
      </c>
      <c r="C31" s="42">
        <f ca="1">Inputs!$B$2/B31</f>
        <v>151.74193548387095</v>
      </c>
      <c r="D31" s="43">
        <f ca="1">WORKDAY(Inputs!$B$3, ROUND(C31, 0),Sheet2!$A$2:$A$21)</f>
        <v>46240</v>
      </c>
      <c r="G31" s="1">
        <f>WORKDAY(G30,1,Sheet2!$A$2:$A$21)</f>
        <v>46279</v>
      </c>
      <c r="H31">
        <f t="shared" ca="1" si="1"/>
        <v>0</v>
      </c>
      <c r="I31" s="44">
        <f t="shared" ca="1" si="2"/>
        <v>0</v>
      </c>
      <c r="J31" s="44">
        <f ca="1">SUM($I$2:I31)</f>
        <v>0.94268406337371846</v>
      </c>
    </row>
    <row r="32" spans="1:18" x14ac:dyDescent="0.25">
      <c r="A32" s="42">
        <f t="shared" si="0"/>
        <v>31</v>
      </c>
      <c r="B32" s="42" cm="1">
        <f t="array" aca="1" ref="B32" ca="1">INDEX(Historical!$A$1:$A$18, RANDBETWEEN(1, COUNTA(Historical!$A$1:$A$18)))</f>
        <v>1.290909090909091</v>
      </c>
      <c r="C32" s="42">
        <f ca="1">Inputs!$B$2/B32</f>
        <v>173.52112676056336</v>
      </c>
      <c r="D32" s="43">
        <f ca="1">WORKDAY(Inputs!$B$3, ROUND(C32, 0),Sheet2!$A$2:$A$21)</f>
        <v>46273</v>
      </c>
      <c r="G32" s="1">
        <f>WORKDAY(G31,1,Sheet2!$A$2:$A$21)</f>
        <v>46280</v>
      </c>
      <c r="H32">
        <f t="shared" ca="1" si="1"/>
        <v>0</v>
      </c>
      <c r="I32" s="44">
        <f t="shared" ca="1" si="2"/>
        <v>0</v>
      </c>
      <c r="J32" s="44">
        <f ca="1">SUM($I$2:I32)</f>
        <v>0.94268406337371846</v>
      </c>
    </row>
    <row r="33" spans="1:10" x14ac:dyDescent="0.25">
      <c r="A33" s="42">
        <f t="shared" si="0"/>
        <v>32</v>
      </c>
      <c r="B33" s="42" cm="1">
        <f t="array" aca="1" ref="B33" ca="1">INDEX(Historical!$A$1:$A$18, RANDBETWEEN(1, COUNTA(Historical!$A$1:$A$18)))</f>
        <v>1.3707865168539326</v>
      </c>
      <c r="C33" s="42">
        <f ca="1">Inputs!$B$2/B33</f>
        <v>163.40983606557376</v>
      </c>
      <c r="D33" s="43">
        <f ca="1">WORKDAY(Inputs!$B$3, ROUND(C33, 0),Sheet2!$A$2:$A$21)</f>
        <v>46255</v>
      </c>
      <c r="G33" s="1">
        <f>WORKDAY(G32,1,Sheet2!$A$2:$A$21)</f>
        <v>46281</v>
      </c>
      <c r="H33">
        <f t="shared" ca="1" si="1"/>
        <v>0</v>
      </c>
      <c r="I33" s="44">
        <f t="shared" ca="1" si="2"/>
        <v>0</v>
      </c>
      <c r="J33" s="44">
        <f ca="1">SUM($I$2:I33)</f>
        <v>0.94268406337371846</v>
      </c>
    </row>
    <row r="34" spans="1:10" x14ac:dyDescent="0.25">
      <c r="A34" s="42">
        <f t="shared" si="0"/>
        <v>33</v>
      </c>
      <c r="B34" s="42" cm="1">
        <f t="array" aca="1" ref="B34" ca="1">INDEX(Historical!$A$1:$A$18, RANDBETWEEN(1, COUNTA(Historical!$A$1:$A$18)))</f>
        <v>1.3214285714285714</v>
      </c>
      <c r="C34" s="42">
        <f ca="1">Inputs!$B$2/B34</f>
        <v>169.51351351351352</v>
      </c>
      <c r="D34" s="43">
        <f ca="1">WORKDAY(Inputs!$B$3, ROUND(C34, 0),Sheet2!$A$2:$A$21)</f>
        <v>46266</v>
      </c>
      <c r="G34" s="1">
        <f>WORKDAY(G33,1,Sheet2!$A$2:$A$21)</f>
        <v>46282</v>
      </c>
      <c r="H34">
        <f t="shared" ca="1" si="1"/>
        <v>0</v>
      </c>
      <c r="I34" s="44">
        <f t="shared" ca="1" si="2"/>
        <v>0</v>
      </c>
      <c r="J34" s="44">
        <f ca="1">SUM($I$2:I34)</f>
        <v>0.94268406337371846</v>
      </c>
    </row>
    <row r="35" spans="1:10" x14ac:dyDescent="0.25">
      <c r="A35" s="42">
        <f t="shared" si="0"/>
        <v>34</v>
      </c>
      <c r="B35" s="42" cm="1">
        <f t="array" aca="1" ref="B35" ca="1">INDEX(Historical!$A$1:$A$18, RANDBETWEEN(1, COUNTA(Historical!$A$1:$A$18)))</f>
        <v>1.3617021276595744</v>
      </c>
      <c r="C35" s="42">
        <f ca="1">Inputs!$B$2/B35</f>
        <v>164.5</v>
      </c>
      <c r="D35" s="43">
        <f ca="1">WORKDAY(Inputs!$B$3, ROUND(C35, 0),Sheet2!$A$2:$A$21)</f>
        <v>46259</v>
      </c>
      <c r="G35" s="1">
        <f>WORKDAY(G34,1,Sheet2!$A$2:$A$21)</f>
        <v>46283</v>
      </c>
      <c r="H35">
        <f t="shared" ca="1" si="1"/>
        <v>0</v>
      </c>
      <c r="I35" s="44">
        <f t="shared" ca="1" si="2"/>
        <v>0</v>
      </c>
      <c r="J35" s="44">
        <f ca="1">SUM($I$2:I35)</f>
        <v>0.94268406337371846</v>
      </c>
    </row>
    <row r="36" spans="1:10" x14ac:dyDescent="0.25">
      <c r="A36" s="42">
        <f t="shared" si="0"/>
        <v>35</v>
      </c>
      <c r="B36" s="42" cm="1">
        <f t="array" aca="1" ref="B36" ca="1">INDEX(Historical!$A$1:$A$18, RANDBETWEEN(1, COUNTA(Historical!$A$1:$A$18)))</f>
        <v>1.290909090909091</v>
      </c>
      <c r="C36" s="42">
        <f ca="1">Inputs!$B$2/B36</f>
        <v>173.52112676056336</v>
      </c>
      <c r="D36" s="43">
        <f ca="1">WORKDAY(Inputs!$B$3, ROUND(C36, 0),Sheet2!$A$2:$A$21)</f>
        <v>46273</v>
      </c>
      <c r="G36" s="1">
        <f>WORKDAY(G35,1,Sheet2!$A$2:$A$21)</f>
        <v>46286</v>
      </c>
      <c r="H36">
        <f t="shared" ca="1" si="1"/>
        <v>0</v>
      </c>
      <c r="I36" s="44">
        <f t="shared" ca="1" si="2"/>
        <v>0</v>
      </c>
      <c r="J36" s="44">
        <f ca="1">SUM($I$2:I36)</f>
        <v>0.94268406337371846</v>
      </c>
    </row>
    <row r="37" spans="1:10" x14ac:dyDescent="0.25">
      <c r="A37" s="42">
        <f t="shared" si="0"/>
        <v>36</v>
      </c>
      <c r="B37" s="42" cm="1">
        <f t="array" aca="1" ref="B37" ca="1">INDEX(Historical!$A$1:$A$18, RANDBETWEEN(1, COUNTA(Historical!$A$1:$A$18)))</f>
        <v>1.3692307692307693</v>
      </c>
      <c r="C37" s="42">
        <f ca="1">Inputs!$B$2/B37</f>
        <v>163.59550561797752</v>
      </c>
      <c r="D37" s="43">
        <f ca="1">WORKDAY(Inputs!$B$3, ROUND(C37, 0),Sheet2!$A$2:$A$21)</f>
        <v>46258</v>
      </c>
      <c r="G37" s="1">
        <f>WORKDAY(G36,1,Sheet2!$A$2:$A$21)</f>
        <v>46287</v>
      </c>
      <c r="H37">
        <f t="shared" ca="1" si="1"/>
        <v>0</v>
      </c>
      <c r="I37" s="44">
        <f t="shared" ca="1" si="2"/>
        <v>0</v>
      </c>
      <c r="J37" s="44">
        <f ca="1">SUM($I$2:I37)</f>
        <v>0.94268406337371846</v>
      </c>
    </row>
    <row r="38" spans="1:10" x14ac:dyDescent="0.25">
      <c r="A38" s="42">
        <f t="shared" si="0"/>
        <v>37</v>
      </c>
      <c r="B38" s="42" cm="1">
        <f t="array" aca="1" ref="B38" ca="1">INDEX(Historical!$A$1:$A$18, RANDBETWEEN(1, COUNTA(Historical!$A$1:$A$18)))</f>
        <v>1.4347826086956521</v>
      </c>
      <c r="C38" s="42">
        <f ca="1">Inputs!$B$2/B38</f>
        <v>156.12121212121212</v>
      </c>
      <c r="D38" s="43">
        <f ca="1">WORKDAY(Inputs!$B$3, ROUND(C38, 0),Sheet2!$A$2:$A$21)</f>
        <v>46246</v>
      </c>
      <c r="G38" s="1">
        <f>WORKDAY(G37,1,Sheet2!$A$2:$A$21)</f>
        <v>46288</v>
      </c>
      <c r="H38">
        <f t="shared" ca="1" si="1"/>
        <v>0</v>
      </c>
      <c r="I38" s="44">
        <f t="shared" ca="1" si="2"/>
        <v>0</v>
      </c>
      <c r="J38" s="44">
        <f ca="1">SUM($I$2:I38)</f>
        <v>0.94268406337371846</v>
      </c>
    </row>
    <row r="39" spans="1:10" x14ac:dyDescent="0.25">
      <c r="A39" s="42">
        <f t="shared" si="0"/>
        <v>38</v>
      </c>
      <c r="B39" s="42" cm="1">
        <f t="array" aca="1" ref="B39" ca="1">INDEX(Historical!$A$1:$A$18, RANDBETWEEN(1, COUNTA(Historical!$A$1:$A$18)))</f>
        <v>1.4137931034482758</v>
      </c>
      <c r="C39" s="42">
        <f ca="1">Inputs!$B$2/B39</f>
        <v>158.4390243902439</v>
      </c>
      <c r="D39" s="43">
        <f ca="1">WORKDAY(Inputs!$B$3, ROUND(C39, 0),Sheet2!$A$2:$A$21)</f>
        <v>46248</v>
      </c>
      <c r="G39" s="1">
        <f>WORKDAY(G38,1,Sheet2!$A$2:$A$21)</f>
        <v>46289</v>
      </c>
      <c r="H39">
        <f t="shared" ca="1" si="1"/>
        <v>0</v>
      </c>
      <c r="I39" s="44">
        <f t="shared" ca="1" si="2"/>
        <v>0</v>
      </c>
      <c r="J39" s="44">
        <f ca="1">SUM($I$2:I39)</f>
        <v>0.94268406337371846</v>
      </c>
    </row>
    <row r="40" spans="1:10" x14ac:dyDescent="0.25">
      <c r="A40" s="42">
        <f t="shared" si="0"/>
        <v>39</v>
      </c>
      <c r="B40" s="42" cm="1">
        <f t="array" aca="1" ref="B40" ca="1">INDEX(Historical!$A$1:$A$18, RANDBETWEEN(1, COUNTA(Historical!$A$1:$A$18)))</f>
        <v>1.375</v>
      </c>
      <c r="C40" s="42">
        <f ca="1">Inputs!$B$2/B40</f>
        <v>162.90909090909091</v>
      </c>
      <c r="D40" s="43">
        <f ca="1">WORKDAY(Inputs!$B$3, ROUND(C40, 0),Sheet2!$A$2:$A$21)</f>
        <v>46255</v>
      </c>
      <c r="G40" s="1">
        <f>WORKDAY(G39,1,Sheet2!$A$2:$A$21)</f>
        <v>46290</v>
      </c>
      <c r="H40">
        <f t="shared" ca="1" si="1"/>
        <v>0</v>
      </c>
      <c r="I40" s="44">
        <f t="shared" ca="1" si="2"/>
        <v>0</v>
      </c>
      <c r="J40" s="44">
        <f ca="1">SUM($I$2:I40)</f>
        <v>0.94268406337371846</v>
      </c>
    </row>
    <row r="41" spans="1:10" x14ac:dyDescent="0.25">
      <c r="A41" s="42">
        <f t="shared" si="0"/>
        <v>40</v>
      </c>
      <c r="B41" s="42" cm="1">
        <f t="array" aca="1" ref="B41" ca="1">INDEX(Historical!$A$1:$A$18, RANDBETWEEN(1, COUNTA(Historical!$A$1:$A$18)))</f>
        <v>1.4137931034482758</v>
      </c>
      <c r="C41" s="42">
        <f ca="1">Inputs!$B$2/B41</f>
        <v>158.4390243902439</v>
      </c>
      <c r="D41" s="43">
        <f ca="1">WORKDAY(Inputs!$B$3, ROUND(C41, 0),Sheet2!$A$2:$A$21)</f>
        <v>46248</v>
      </c>
      <c r="G41" s="1">
        <f>WORKDAY(G40,1,Sheet2!$A$2:$A$21)</f>
        <v>46293</v>
      </c>
      <c r="H41">
        <f t="shared" ca="1" si="1"/>
        <v>0</v>
      </c>
      <c r="I41" s="44">
        <f t="shared" ca="1" si="2"/>
        <v>0</v>
      </c>
      <c r="J41" s="44">
        <f ca="1">SUM($I$2:I41)</f>
        <v>0.94268406337371846</v>
      </c>
    </row>
    <row r="42" spans="1:10" x14ac:dyDescent="0.25">
      <c r="A42" s="42">
        <f t="shared" si="0"/>
        <v>41</v>
      </c>
      <c r="B42" s="42" cm="1">
        <f t="array" aca="1" ref="B42" ca="1">INDEX(Historical!$A$1:$A$18, RANDBETWEEN(1, COUNTA(Historical!$A$1:$A$18)))</f>
        <v>1.290909090909091</v>
      </c>
      <c r="C42" s="42">
        <f ca="1">Inputs!$B$2/B42</f>
        <v>173.52112676056336</v>
      </c>
      <c r="D42" s="43">
        <f ca="1">WORKDAY(Inputs!$B$3, ROUND(C42, 0),Sheet2!$A$2:$A$21)</f>
        <v>46273</v>
      </c>
      <c r="G42" s="1">
        <f>WORKDAY(G41,1,Sheet2!$A$2:$A$21)</f>
        <v>46294</v>
      </c>
      <c r="H42">
        <f t="shared" ca="1" si="1"/>
        <v>0</v>
      </c>
      <c r="I42" s="44">
        <f t="shared" ca="1" si="2"/>
        <v>0</v>
      </c>
      <c r="J42" s="44">
        <f ca="1">SUM($I$2:I42)</f>
        <v>0.94268406337371846</v>
      </c>
    </row>
    <row r="43" spans="1:10" x14ac:dyDescent="0.25">
      <c r="A43" s="42">
        <f t="shared" si="0"/>
        <v>42</v>
      </c>
      <c r="B43" s="42" cm="1">
        <f t="array" aca="1" ref="B43" ca="1">INDEX(Historical!$A$1:$A$18, RANDBETWEEN(1, COUNTA(Historical!$A$1:$A$18)))</f>
        <v>1.3611111111111112</v>
      </c>
      <c r="C43" s="42">
        <f ca="1">Inputs!$B$2/B43</f>
        <v>164.57142857142856</v>
      </c>
      <c r="D43" s="43">
        <f ca="1">WORKDAY(Inputs!$B$3, ROUND(C43, 0),Sheet2!$A$2:$A$21)</f>
        <v>46259</v>
      </c>
      <c r="G43" s="1">
        <f>WORKDAY(G42,1,Sheet2!$A$2:$A$21)</f>
        <v>46295</v>
      </c>
      <c r="H43">
        <f t="shared" ca="1" si="1"/>
        <v>0</v>
      </c>
      <c r="I43" s="44">
        <f t="shared" ca="1" si="2"/>
        <v>0</v>
      </c>
      <c r="J43" s="44">
        <f ca="1">SUM($I$2:I43)</f>
        <v>0.94268406337371846</v>
      </c>
    </row>
    <row r="44" spans="1:10" x14ac:dyDescent="0.25">
      <c r="A44" s="42">
        <f t="shared" si="0"/>
        <v>43</v>
      </c>
      <c r="B44" s="42" cm="1">
        <f t="array" aca="1" ref="B44" ca="1">INDEX(Historical!$A$1:$A$18, RANDBETWEEN(1, COUNTA(Historical!$A$1:$A$18)))</f>
        <v>1.2941176470588236</v>
      </c>
      <c r="C44" s="42">
        <f ca="1">Inputs!$B$2/B44</f>
        <v>173.09090909090909</v>
      </c>
      <c r="D44" s="43">
        <f ca="1">WORKDAY(Inputs!$B$3, ROUND(C44, 0),Sheet2!$A$2:$A$21)</f>
        <v>46269</v>
      </c>
      <c r="G44" s="1">
        <f>WORKDAY(G43,1,Sheet2!$A$2:$A$21)</f>
        <v>46296</v>
      </c>
      <c r="H44">
        <f t="shared" ca="1" si="1"/>
        <v>0</v>
      </c>
      <c r="I44" s="44">
        <f t="shared" ca="1" si="2"/>
        <v>0</v>
      </c>
      <c r="J44" s="44">
        <f ca="1">SUM($I$2:I44)</f>
        <v>0.94268406337371846</v>
      </c>
    </row>
    <row r="45" spans="1:10" x14ac:dyDescent="0.25">
      <c r="A45" s="42">
        <f t="shared" si="0"/>
        <v>44</v>
      </c>
      <c r="B45" s="42" cm="1">
        <f t="array" aca="1" ref="B45" ca="1">INDEX(Historical!$A$1:$A$18, RANDBETWEEN(1, COUNTA(Historical!$A$1:$A$18)))</f>
        <v>1.1666666666666667</v>
      </c>
      <c r="C45" s="42">
        <f ca="1">Inputs!$B$2/B45</f>
        <v>192</v>
      </c>
      <c r="D45" s="43">
        <f ca="1">WORKDAY(Inputs!$B$3, ROUND(C45, 0),Sheet2!$A$2:$A$21)</f>
        <v>46297</v>
      </c>
      <c r="G45" s="1">
        <f>WORKDAY(G44,1,Sheet2!$A$2:$A$21)</f>
        <v>46297</v>
      </c>
      <c r="H45">
        <f t="shared" ca="1" si="1"/>
        <v>123</v>
      </c>
      <c r="I45" s="44">
        <f t="shared" ca="1" si="2"/>
        <v>5.7315936626281455E-2</v>
      </c>
      <c r="J45" s="44">
        <f ca="1">SUM($I$2:I45)</f>
        <v>0.99999999999999989</v>
      </c>
    </row>
    <row r="46" spans="1:10" x14ac:dyDescent="0.25">
      <c r="A46" s="42">
        <f t="shared" si="0"/>
        <v>45</v>
      </c>
      <c r="B46" s="42" cm="1">
        <f t="array" aca="1" ref="B46" ca="1">INDEX(Historical!$A$1:$A$18, RANDBETWEEN(1, COUNTA(Historical!$A$1:$A$18)))</f>
        <v>1.290909090909091</v>
      </c>
      <c r="C46" s="42">
        <f ca="1">Inputs!$B$2/B46</f>
        <v>173.52112676056336</v>
      </c>
      <c r="D46" s="43">
        <f ca="1">WORKDAY(Inputs!$B$3, ROUND(C46, 0),Sheet2!$A$2:$A$21)</f>
        <v>46273</v>
      </c>
    </row>
    <row r="47" spans="1:10" x14ac:dyDescent="0.25">
      <c r="A47" s="42">
        <f t="shared" si="0"/>
        <v>46</v>
      </c>
      <c r="B47" s="42" cm="1">
        <f t="array" aca="1" ref="B47" ca="1">INDEX(Historical!$A$1:$A$18, RANDBETWEEN(1, COUNTA(Historical!$A$1:$A$18)))</f>
        <v>1.3692307692307693</v>
      </c>
      <c r="C47" s="42">
        <f ca="1">Inputs!$B$2/B47</f>
        <v>163.59550561797752</v>
      </c>
      <c r="D47" s="43">
        <f ca="1">WORKDAY(Inputs!$B$3, ROUND(C47, 0),Sheet2!$A$2:$A$21)</f>
        <v>46258</v>
      </c>
    </row>
    <row r="48" spans="1:10" x14ac:dyDescent="0.25">
      <c r="A48" s="42">
        <f t="shared" si="0"/>
        <v>47</v>
      </c>
      <c r="B48" s="42" cm="1">
        <f t="array" aca="1" ref="B48" ca="1">INDEX(Historical!$A$1:$A$18, RANDBETWEEN(1, COUNTA(Historical!$A$1:$A$18)))</f>
        <v>1.3692307692307693</v>
      </c>
      <c r="C48" s="42">
        <f ca="1">Inputs!$B$2/B48</f>
        <v>163.59550561797752</v>
      </c>
      <c r="D48" s="43">
        <f ca="1">WORKDAY(Inputs!$B$3, ROUND(C48, 0),Sheet2!$A$2:$A$21)</f>
        <v>46258</v>
      </c>
    </row>
    <row r="49" spans="1:4" x14ac:dyDescent="0.25">
      <c r="A49" s="42">
        <f t="shared" si="0"/>
        <v>48</v>
      </c>
      <c r="B49" s="42" cm="1">
        <f t="array" aca="1" ref="B49" ca="1">INDEX(Historical!$A$1:$A$18, RANDBETWEEN(1, COUNTA(Historical!$A$1:$A$18)))</f>
        <v>1.1666666666666667</v>
      </c>
      <c r="C49" s="42">
        <f ca="1">Inputs!$B$2/B49</f>
        <v>192</v>
      </c>
      <c r="D49" s="43">
        <f ca="1">WORKDAY(Inputs!$B$3, ROUND(C49, 0),Sheet2!$A$2:$A$21)</f>
        <v>46297</v>
      </c>
    </row>
    <row r="50" spans="1:4" x14ac:dyDescent="0.25">
      <c r="A50" s="42">
        <f t="shared" si="0"/>
        <v>49</v>
      </c>
      <c r="B50" s="42" cm="1">
        <f t="array" aca="1" ref="B50" ca="1">INDEX(Historical!$A$1:$A$18, RANDBETWEEN(1, COUNTA(Historical!$A$1:$A$18)))</f>
        <v>1.1666666666666667</v>
      </c>
      <c r="C50" s="42">
        <f ca="1">Inputs!$B$2/B50</f>
        <v>192</v>
      </c>
      <c r="D50" s="43">
        <f ca="1">WORKDAY(Inputs!$B$3, ROUND(C50, 0),Sheet2!$A$2:$A$21)</f>
        <v>46297</v>
      </c>
    </row>
    <row r="51" spans="1:4" x14ac:dyDescent="0.25">
      <c r="A51" s="42">
        <f t="shared" si="0"/>
        <v>50</v>
      </c>
      <c r="B51" s="42" cm="1">
        <f t="array" aca="1" ref="B51" ca="1">INDEX(Historical!$A$1:$A$18, RANDBETWEEN(1, COUNTA(Historical!$A$1:$A$18)))</f>
        <v>1.4038461538461537</v>
      </c>
      <c r="C51" s="42">
        <f ca="1">Inputs!$B$2/B51</f>
        <v>159.56164383561645</v>
      </c>
      <c r="D51" s="43">
        <f ca="1">WORKDAY(Inputs!$B$3, ROUND(C51, 0),Sheet2!$A$2:$A$21)</f>
        <v>46252</v>
      </c>
    </row>
    <row r="52" spans="1:4" x14ac:dyDescent="0.25">
      <c r="A52" s="42">
        <f t="shared" si="0"/>
        <v>51</v>
      </c>
      <c r="B52" s="42" cm="1">
        <f t="array" aca="1" ref="B52" ca="1">INDEX(Historical!$A$1:$A$18, RANDBETWEEN(1, COUNTA(Historical!$A$1:$A$18)))</f>
        <v>1.368421052631579</v>
      </c>
      <c r="C52" s="42">
        <f ca="1">Inputs!$B$2/B52</f>
        <v>163.69230769230768</v>
      </c>
      <c r="D52" s="43">
        <f ca="1">WORKDAY(Inputs!$B$3, ROUND(C52, 0),Sheet2!$A$2:$A$21)</f>
        <v>46258</v>
      </c>
    </row>
    <row r="53" spans="1:4" x14ac:dyDescent="0.25">
      <c r="A53" s="42">
        <f t="shared" si="0"/>
        <v>52</v>
      </c>
      <c r="B53" s="42" cm="1">
        <f t="array" aca="1" ref="B53" ca="1">INDEX(Historical!$A$1:$A$18, RANDBETWEEN(1, COUNTA(Historical!$A$1:$A$18)))</f>
        <v>1.3692307692307693</v>
      </c>
      <c r="C53" s="42">
        <f ca="1">Inputs!$B$2/B53</f>
        <v>163.59550561797752</v>
      </c>
      <c r="D53" s="43">
        <f ca="1">WORKDAY(Inputs!$B$3, ROUND(C53, 0),Sheet2!$A$2:$A$21)</f>
        <v>46258</v>
      </c>
    </row>
    <row r="54" spans="1:4" x14ac:dyDescent="0.25">
      <c r="A54" s="42">
        <f t="shared" si="0"/>
        <v>53</v>
      </c>
      <c r="B54" s="42" cm="1">
        <f t="array" aca="1" ref="B54" ca="1">INDEX(Historical!$A$1:$A$18, RANDBETWEEN(1, COUNTA(Historical!$A$1:$A$18)))</f>
        <v>1.1666666666666667</v>
      </c>
      <c r="C54" s="42">
        <f ca="1">Inputs!$B$2/B54</f>
        <v>192</v>
      </c>
      <c r="D54" s="43">
        <f ca="1">WORKDAY(Inputs!$B$3, ROUND(C54, 0),Sheet2!$A$2:$A$21)</f>
        <v>46297</v>
      </c>
    </row>
    <row r="55" spans="1:4" x14ac:dyDescent="0.25">
      <c r="A55" s="42">
        <f t="shared" si="0"/>
        <v>54</v>
      </c>
      <c r="B55" s="42" cm="1">
        <f t="array" aca="1" ref="B55" ca="1">INDEX(Historical!$A$1:$A$18, RANDBETWEEN(1, COUNTA(Historical!$A$1:$A$18)))</f>
        <v>1.4137931034482758</v>
      </c>
      <c r="C55" s="42">
        <f ca="1">Inputs!$B$2/B55</f>
        <v>158.4390243902439</v>
      </c>
      <c r="D55" s="43">
        <f ca="1">WORKDAY(Inputs!$B$3, ROUND(C55, 0),Sheet2!$A$2:$A$21)</f>
        <v>46248</v>
      </c>
    </row>
    <row r="56" spans="1:4" x14ac:dyDescent="0.25">
      <c r="A56" s="42">
        <f t="shared" si="0"/>
        <v>55</v>
      </c>
      <c r="B56" s="42" cm="1">
        <f t="array" aca="1" ref="B56" ca="1">INDEX(Historical!$A$1:$A$18, RANDBETWEEN(1, COUNTA(Historical!$A$1:$A$18)))</f>
        <v>1.3559322033898304</v>
      </c>
      <c r="C56" s="42">
        <f ca="1">Inputs!$B$2/B56</f>
        <v>165.20000000000002</v>
      </c>
      <c r="D56" s="43">
        <f ca="1">WORKDAY(Inputs!$B$3, ROUND(C56, 0),Sheet2!$A$2:$A$21)</f>
        <v>46259</v>
      </c>
    </row>
    <row r="57" spans="1:4" x14ac:dyDescent="0.25">
      <c r="A57" s="42">
        <f t="shared" si="0"/>
        <v>56</v>
      </c>
      <c r="B57" s="42" cm="1">
        <f t="array" aca="1" ref="B57" ca="1">INDEX(Historical!$A$1:$A$18, RANDBETWEEN(1, COUNTA(Historical!$A$1:$A$18)))</f>
        <v>1.3707865168539326</v>
      </c>
      <c r="C57" s="42">
        <f ca="1">Inputs!$B$2/B57</f>
        <v>163.40983606557376</v>
      </c>
      <c r="D57" s="43">
        <f ca="1">WORKDAY(Inputs!$B$3, ROUND(C57, 0),Sheet2!$A$2:$A$21)</f>
        <v>46255</v>
      </c>
    </row>
    <row r="58" spans="1:4" x14ac:dyDescent="0.25">
      <c r="A58" s="42">
        <f t="shared" si="0"/>
        <v>57</v>
      </c>
      <c r="B58" s="42" cm="1">
        <f t="array" aca="1" ref="B58" ca="1">INDEX(Historical!$A$1:$A$18, RANDBETWEEN(1, COUNTA(Historical!$A$1:$A$18)))</f>
        <v>1.375</v>
      </c>
      <c r="C58" s="42">
        <f ca="1">Inputs!$B$2/B58</f>
        <v>162.90909090909091</v>
      </c>
      <c r="D58" s="43">
        <f ca="1">WORKDAY(Inputs!$B$3, ROUND(C58, 0),Sheet2!$A$2:$A$21)</f>
        <v>46255</v>
      </c>
    </row>
    <row r="59" spans="1:4" x14ac:dyDescent="0.25">
      <c r="A59" s="42">
        <f t="shared" si="0"/>
        <v>58</v>
      </c>
      <c r="B59" s="42" cm="1">
        <f t="array" aca="1" ref="B59" ca="1">INDEX(Historical!$A$1:$A$18, RANDBETWEEN(1, COUNTA(Historical!$A$1:$A$18)))</f>
        <v>1.2941176470588236</v>
      </c>
      <c r="C59" s="42">
        <f ca="1">Inputs!$B$2/B59</f>
        <v>173.09090909090909</v>
      </c>
      <c r="D59" s="43">
        <f ca="1">WORKDAY(Inputs!$B$3, ROUND(C59, 0),Sheet2!$A$2:$A$21)</f>
        <v>46269</v>
      </c>
    </row>
    <row r="60" spans="1:4" x14ac:dyDescent="0.25">
      <c r="A60" s="42">
        <f t="shared" si="0"/>
        <v>59</v>
      </c>
      <c r="B60" s="42" cm="1">
        <f t="array" aca="1" ref="B60" ca="1">INDEX(Historical!$A$1:$A$18, RANDBETWEEN(1, COUNTA(Historical!$A$1:$A$18)))</f>
        <v>1.4347826086956521</v>
      </c>
      <c r="C60" s="42">
        <f ca="1">Inputs!$B$2/B60</f>
        <v>156.12121212121212</v>
      </c>
      <c r="D60" s="43">
        <f ca="1">WORKDAY(Inputs!$B$3, ROUND(C60, 0),Sheet2!$A$2:$A$21)</f>
        <v>46246</v>
      </c>
    </row>
    <row r="61" spans="1:4" x14ac:dyDescent="0.25">
      <c r="A61" s="42">
        <f t="shared" si="0"/>
        <v>60</v>
      </c>
      <c r="B61" s="42" cm="1">
        <f t="array" aca="1" ref="B61" ca="1">INDEX(Historical!$A$1:$A$18, RANDBETWEEN(1, COUNTA(Historical!$A$1:$A$18)))</f>
        <v>1.3617021276595744</v>
      </c>
      <c r="C61" s="42">
        <f ca="1">Inputs!$B$2/B61</f>
        <v>164.5</v>
      </c>
      <c r="D61" s="43">
        <f ca="1">WORKDAY(Inputs!$B$3, ROUND(C61, 0),Sheet2!$A$2:$A$21)</f>
        <v>46259</v>
      </c>
    </row>
    <row r="62" spans="1:4" x14ac:dyDescent="0.25">
      <c r="A62" s="42">
        <f t="shared" si="0"/>
        <v>61</v>
      </c>
      <c r="B62" s="42" cm="1">
        <f t="array" aca="1" ref="B62" ca="1">INDEX(Historical!$A$1:$A$18, RANDBETWEEN(1, COUNTA(Historical!$A$1:$A$18)))</f>
        <v>1.290909090909091</v>
      </c>
      <c r="C62" s="42">
        <f ca="1">Inputs!$B$2/B62</f>
        <v>173.52112676056336</v>
      </c>
      <c r="D62" s="43">
        <f ca="1">WORKDAY(Inputs!$B$3, ROUND(C62, 0),Sheet2!$A$2:$A$21)</f>
        <v>46273</v>
      </c>
    </row>
    <row r="63" spans="1:4" x14ac:dyDescent="0.25">
      <c r="A63" s="42">
        <f t="shared" si="0"/>
        <v>62</v>
      </c>
      <c r="B63" s="42" cm="1">
        <f t="array" aca="1" ref="B63" ca="1">INDEX(Historical!$A$1:$A$18, RANDBETWEEN(1, COUNTA(Historical!$A$1:$A$18)))</f>
        <v>1.4347826086956521</v>
      </c>
      <c r="C63" s="42">
        <f ca="1">Inputs!$B$2/B63</f>
        <v>156.12121212121212</v>
      </c>
      <c r="D63" s="43">
        <f ca="1">WORKDAY(Inputs!$B$3, ROUND(C63, 0),Sheet2!$A$2:$A$21)</f>
        <v>46246</v>
      </c>
    </row>
    <row r="64" spans="1:4" x14ac:dyDescent="0.25">
      <c r="A64" s="42">
        <f t="shared" si="0"/>
        <v>63</v>
      </c>
      <c r="B64" s="42" cm="1">
        <f t="array" aca="1" ref="B64" ca="1">INDEX(Historical!$A$1:$A$18, RANDBETWEEN(1, COUNTA(Historical!$A$1:$A$18)))</f>
        <v>1.375</v>
      </c>
      <c r="C64" s="42">
        <f ca="1">Inputs!$B$2/B64</f>
        <v>162.90909090909091</v>
      </c>
      <c r="D64" s="43">
        <f ca="1">WORKDAY(Inputs!$B$3, ROUND(C64, 0),Sheet2!$A$2:$A$21)</f>
        <v>46255</v>
      </c>
    </row>
    <row r="65" spans="1:4" x14ac:dyDescent="0.25">
      <c r="A65" s="42">
        <f t="shared" si="0"/>
        <v>64</v>
      </c>
      <c r="B65" s="42" cm="1">
        <f t="array" aca="1" ref="B65" ca="1">INDEX(Historical!$A$1:$A$18, RANDBETWEEN(1, COUNTA(Historical!$A$1:$A$18)))</f>
        <v>1.3559322033898304</v>
      </c>
      <c r="C65" s="42">
        <f ca="1">Inputs!$B$2/B65</f>
        <v>165.20000000000002</v>
      </c>
      <c r="D65" s="43">
        <f ca="1">WORKDAY(Inputs!$B$3, ROUND(C65, 0),Sheet2!$A$2:$A$21)</f>
        <v>46259</v>
      </c>
    </row>
    <row r="66" spans="1:4" x14ac:dyDescent="0.25">
      <c r="A66" s="42">
        <f t="shared" si="0"/>
        <v>65</v>
      </c>
      <c r="B66" s="42" cm="1">
        <f t="array" aca="1" ref="B66" ca="1">INDEX(Historical!$A$1:$A$18, RANDBETWEEN(1, COUNTA(Historical!$A$1:$A$18)))</f>
        <v>1.4137931034482758</v>
      </c>
      <c r="C66" s="42">
        <f ca="1">Inputs!$B$2/B66</f>
        <v>158.4390243902439</v>
      </c>
      <c r="D66" s="43">
        <f ca="1">WORKDAY(Inputs!$B$3, ROUND(C66, 0),Sheet2!$A$2:$A$21)</f>
        <v>46248</v>
      </c>
    </row>
    <row r="67" spans="1:4" x14ac:dyDescent="0.25">
      <c r="A67" s="42">
        <f t="shared" ref="A67:A130" si="3">ROW()-1</f>
        <v>66</v>
      </c>
      <c r="B67" s="42" cm="1">
        <f t="array" aca="1" ref="B67" ca="1">INDEX(Historical!$A$1:$A$18, RANDBETWEEN(1, COUNTA(Historical!$A$1:$A$18)))</f>
        <v>1.4347826086956521</v>
      </c>
      <c r="C67" s="42">
        <f ca="1">Inputs!$B$2/B67</f>
        <v>156.12121212121212</v>
      </c>
      <c r="D67" s="43">
        <f ca="1">WORKDAY(Inputs!$B$3, ROUND(C67, 0),Sheet2!$A$2:$A$21)</f>
        <v>46246</v>
      </c>
    </row>
    <row r="68" spans="1:4" x14ac:dyDescent="0.25">
      <c r="A68" s="42">
        <f t="shared" si="3"/>
        <v>67</v>
      </c>
      <c r="B68" s="42" cm="1">
        <f t="array" aca="1" ref="B68" ca="1">INDEX(Historical!$A$1:$A$18, RANDBETWEEN(1, COUNTA(Historical!$A$1:$A$18)))</f>
        <v>1.3617021276595744</v>
      </c>
      <c r="C68" s="42">
        <f ca="1">Inputs!$B$2/B68</f>
        <v>164.5</v>
      </c>
      <c r="D68" s="43">
        <f ca="1">WORKDAY(Inputs!$B$3, ROUND(C68, 0),Sheet2!$A$2:$A$21)</f>
        <v>46259</v>
      </c>
    </row>
    <row r="69" spans="1:4" x14ac:dyDescent="0.25">
      <c r="A69" s="42">
        <f t="shared" si="3"/>
        <v>68</v>
      </c>
      <c r="B69" s="42" cm="1">
        <f t="array" aca="1" ref="B69" ca="1">INDEX(Historical!$A$1:$A$18, RANDBETWEEN(1, COUNTA(Historical!$A$1:$A$18)))</f>
        <v>1.2941176470588236</v>
      </c>
      <c r="C69" s="42">
        <f ca="1">Inputs!$B$2/B69</f>
        <v>173.09090909090909</v>
      </c>
      <c r="D69" s="43">
        <f ca="1">WORKDAY(Inputs!$B$3, ROUND(C69, 0),Sheet2!$A$2:$A$21)</f>
        <v>46269</v>
      </c>
    </row>
    <row r="70" spans="1:4" x14ac:dyDescent="0.25">
      <c r="A70" s="42">
        <f t="shared" si="3"/>
        <v>69</v>
      </c>
      <c r="B70" s="42" cm="1">
        <f t="array" aca="1" ref="B70" ca="1">INDEX(Historical!$A$1:$A$18, RANDBETWEEN(1, COUNTA(Historical!$A$1:$A$18)))</f>
        <v>1.3611111111111112</v>
      </c>
      <c r="C70" s="42">
        <f ca="1">Inputs!$B$2/B70</f>
        <v>164.57142857142856</v>
      </c>
      <c r="D70" s="43">
        <f ca="1">WORKDAY(Inputs!$B$3, ROUND(C70, 0),Sheet2!$A$2:$A$21)</f>
        <v>46259</v>
      </c>
    </row>
    <row r="71" spans="1:4" x14ac:dyDescent="0.25">
      <c r="A71" s="42">
        <f t="shared" si="3"/>
        <v>70</v>
      </c>
      <c r="B71" s="42" cm="1">
        <f t="array" aca="1" ref="B71" ca="1">INDEX(Historical!$A$1:$A$18, RANDBETWEEN(1, COUNTA(Historical!$A$1:$A$18)))</f>
        <v>1.3157894736842106</v>
      </c>
      <c r="C71" s="42">
        <f ca="1">Inputs!$B$2/B71</f>
        <v>170.23999999999998</v>
      </c>
      <c r="D71" s="43">
        <f ca="1">WORKDAY(Inputs!$B$3, ROUND(C71, 0),Sheet2!$A$2:$A$21)</f>
        <v>46266</v>
      </c>
    </row>
    <row r="72" spans="1:4" x14ac:dyDescent="0.25">
      <c r="A72" s="42">
        <f t="shared" si="3"/>
        <v>71</v>
      </c>
      <c r="B72" s="42" cm="1">
        <f t="array" aca="1" ref="B72" ca="1">INDEX(Historical!$A$1:$A$18, RANDBETWEEN(1, COUNTA(Historical!$A$1:$A$18)))</f>
        <v>1.2941176470588236</v>
      </c>
      <c r="C72" s="42">
        <f ca="1">Inputs!$B$2/B72</f>
        <v>173.09090909090909</v>
      </c>
      <c r="D72" s="43">
        <f ca="1">WORKDAY(Inputs!$B$3, ROUND(C72, 0),Sheet2!$A$2:$A$21)</f>
        <v>46269</v>
      </c>
    </row>
    <row r="73" spans="1:4" x14ac:dyDescent="0.25">
      <c r="A73" s="42">
        <f t="shared" si="3"/>
        <v>72</v>
      </c>
      <c r="B73" s="42" cm="1">
        <f t="array" aca="1" ref="B73" ca="1">INDEX(Historical!$A$1:$A$18, RANDBETWEEN(1, COUNTA(Historical!$A$1:$A$18)))</f>
        <v>1.5</v>
      </c>
      <c r="C73" s="42">
        <f ca="1">Inputs!$B$2/B73</f>
        <v>149.33333333333334</v>
      </c>
      <c r="D73" s="43">
        <f ca="1">WORKDAY(Inputs!$B$3, ROUND(C73, 0),Sheet2!$A$2:$A$21)</f>
        <v>46237</v>
      </c>
    </row>
    <row r="74" spans="1:4" x14ac:dyDescent="0.25">
      <c r="A74" s="42">
        <f t="shared" si="3"/>
        <v>73</v>
      </c>
      <c r="B74" s="42" cm="1">
        <f t="array" aca="1" ref="B74" ca="1">INDEX(Historical!$A$1:$A$18, RANDBETWEEN(1, COUNTA(Historical!$A$1:$A$18)))</f>
        <v>1.4038461538461537</v>
      </c>
      <c r="C74" s="42">
        <f ca="1">Inputs!$B$2/B74</f>
        <v>159.56164383561645</v>
      </c>
      <c r="D74" s="43">
        <f ca="1">WORKDAY(Inputs!$B$3, ROUND(C74, 0),Sheet2!$A$2:$A$21)</f>
        <v>46252</v>
      </c>
    </row>
    <row r="75" spans="1:4" x14ac:dyDescent="0.25">
      <c r="A75" s="42">
        <f t="shared" si="3"/>
        <v>74</v>
      </c>
      <c r="B75" s="42" cm="1">
        <f t="array" aca="1" ref="B75" ca="1">INDEX(Historical!$A$1:$A$18, RANDBETWEEN(1, COUNTA(Historical!$A$1:$A$18)))</f>
        <v>1.3692307692307693</v>
      </c>
      <c r="C75" s="42">
        <f ca="1">Inputs!$B$2/B75</f>
        <v>163.59550561797752</v>
      </c>
      <c r="D75" s="43">
        <f ca="1">WORKDAY(Inputs!$B$3, ROUND(C75, 0),Sheet2!$A$2:$A$21)</f>
        <v>46258</v>
      </c>
    </row>
    <row r="76" spans="1:4" x14ac:dyDescent="0.25">
      <c r="A76" s="42">
        <f t="shared" si="3"/>
        <v>75</v>
      </c>
      <c r="B76" s="42" cm="1">
        <f t="array" aca="1" ref="B76" ca="1">INDEX(Historical!$A$1:$A$18, RANDBETWEEN(1, COUNTA(Historical!$A$1:$A$18)))</f>
        <v>1.3707865168539326</v>
      </c>
      <c r="C76" s="42">
        <f ca="1">Inputs!$B$2/B76</f>
        <v>163.40983606557376</v>
      </c>
      <c r="D76" s="43">
        <f ca="1">WORKDAY(Inputs!$B$3, ROUND(C76, 0),Sheet2!$A$2:$A$21)</f>
        <v>46255</v>
      </c>
    </row>
    <row r="77" spans="1:4" x14ac:dyDescent="0.25">
      <c r="A77" s="42">
        <f t="shared" si="3"/>
        <v>76</v>
      </c>
      <c r="B77" s="42" cm="1">
        <f t="array" aca="1" ref="B77" ca="1">INDEX(Historical!$A$1:$A$18, RANDBETWEEN(1, COUNTA(Historical!$A$1:$A$18)))</f>
        <v>1.1666666666666667</v>
      </c>
      <c r="C77" s="42">
        <f ca="1">Inputs!$B$2/B77</f>
        <v>192</v>
      </c>
      <c r="D77" s="43">
        <f ca="1">WORKDAY(Inputs!$B$3, ROUND(C77, 0),Sheet2!$A$2:$A$21)</f>
        <v>46297</v>
      </c>
    </row>
    <row r="78" spans="1:4" x14ac:dyDescent="0.25">
      <c r="A78" s="42">
        <f t="shared" si="3"/>
        <v>77</v>
      </c>
      <c r="B78" s="42" cm="1">
        <f t="array" aca="1" ref="B78" ca="1">INDEX(Historical!$A$1:$A$18, RANDBETWEEN(1, COUNTA(Historical!$A$1:$A$18)))</f>
        <v>1.3214285714285714</v>
      </c>
      <c r="C78" s="42">
        <f ca="1">Inputs!$B$2/B78</f>
        <v>169.51351351351352</v>
      </c>
      <c r="D78" s="43">
        <f ca="1">WORKDAY(Inputs!$B$3, ROUND(C78, 0),Sheet2!$A$2:$A$21)</f>
        <v>46266</v>
      </c>
    </row>
    <row r="79" spans="1:4" x14ac:dyDescent="0.25">
      <c r="A79" s="42">
        <f t="shared" si="3"/>
        <v>78</v>
      </c>
      <c r="B79" s="42" cm="1">
        <f t="array" aca="1" ref="B79" ca="1">INDEX(Historical!$A$1:$A$18, RANDBETWEEN(1, COUNTA(Historical!$A$1:$A$18)))</f>
        <v>1.303030303030303</v>
      </c>
      <c r="C79" s="42">
        <f ca="1">Inputs!$B$2/B79</f>
        <v>171.90697674418604</v>
      </c>
      <c r="D79" s="43">
        <f ca="1">WORKDAY(Inputs!$B$3, ROUND(C79, 0),Sheet2!$A$2:$A$21)</f>
        <v>46268</v>
      </c>
    </row>
    <row r="80" spans="1:4" x14ac:dyDescent="0.25">
      <c r="A80" s="42">
        <f t="shared" si="3"/>
        <v>79</v>
      </c>
      <c r="B80" s="42" cm="1">
        <f t="array" aca="1" ref="B80" ca="1">INDEX(Historical!$A$1:$A$18, RANDBETWEEN(1, COUNTA(Historical!$A$1:$A$18)))</f>
        <v>1.3707865168539326</v>
      </c>
      <c r="C80" s="42">
        <f ca="1">Inputs!$B$2/B80</f>
        <v>163.40983606557376</v>
      </c>
      <c r="D80" s="43">
        <f ca="1">WORKDAY(Inputs!$B$3, ROUND(C80, 0),Sheet2!$A$2:$A$21)</f>
        <v>46255</v>
      </c>
    </row>
    <row r="81" spans="1:4" x14ac:dyDescent="0.25">
      <c r="A81" s="42">
        <f t="shared" si="3"/>
        <v>80</v>
      </c>
      <c r="B81" s="42" cm="1">
        <f t="array" aca="1" ref="B81" ca="1">INDEX(Historical!$A$1:$A$18, RANDBETWEEN(1, COUNTA(Historical!$A$1:$A$18)))</f>
        <v>1.2941176470588236</v>
      </c>
      <c r="C81" s="42">
        <f ca="1">Inputs!$B$2/B81</f>
        <v>173.09090909090909</v>
      </c>
      <c r="D81" s="43">
        <f ca="1">WORKDAY(Inputs!$B$3, ROUND(C81, 0),Sheet2!$A$2:$A$21)</f>
        <v>46269</v>
      </c>
    </row>
    <row r="82" spans="1:4" x14ac:dyDescent="0.25">
      <c r="A82" s="42">
        <f t="shared" si="3"/>
        <v>81</v>
      </c>
      <c r="B82" s="42" cm="1">
        <f t="array" aca="1" ref="B82" ca="1">INDEX(Historical!$A$1:$A$18, RANDBETWEEN(1, COUNTA(Historical!$A$1:$A$18)))</f>
        <v>1.290909090909091</v>
      </c>
      <c r="C82" s="42">
        <f ca="1">Inputs!$B$2/B82</f>
        <v>173.52112676056336</v>
      </c>
      <c r="D82" s="43">
        <f ca="1">WORKDAY(Inputs!$B$3, ROUND(C82, 0),Sheet2!$A$2:$A$21)</f>
        <v>46273</v>
      </c>
    </row>
    <row r="83" spans="1:4" x14ac:dyDescent="0.25">
      <c r="A83" s="42">
        <f t="shared" si="3"/>
        <v>82</v>
      </c>
      <c r="B83" s="42" cm="1">
        <f t="array" aca="1" ref="B83" ca="1">INDEX(Historical!$A$1:$A$18, RANDBETWEEN(1, COUNTA(Historical!$A$1:$A$18)))</f>
        <v>1.368421052631579</v>
      </c>
      <c r="C83" s="42">
        <f ca="1">Inputs!$B$2/B83</f>
        <v>163.69230769230768</v>
      </c>
      <c r="D83" s="43">
        <f ca="1">WORKDAY(Inputs!$B$3, ROUND(C83, 0),Sheet2!$A$2:$A$21)</f>
        <v>46258</v>
      </c>
    </row>
    <row r="84" spans="1:4" x14ac:dyDescent="0.25">
      <c r="A84" s="42">
        <f t="shared" si="3"/>
        <v>83</v>
      </c>
      <c r="B84" s="42" cm="1">
        <f t="array" aca="1" ref="B84" ca="1">INDEX(Historical!$A$1:$A$18, RANDBETWEEN(1, COUNTA(Historical!$A$1:$A$18)))</f>
        <v>1.290909090909091</v>
      </c>
      <c r="C84" s="42">
        <f ca="1">Inputs!$B$2/B84</f>
        <v>173.52112676056336</v>
      </c>
      <c r="D84" s="43">
        <f ca="1">WORKDAY(Inputs!$B$3, ROUND(C84, 0),Sheet2!$A$2:$A$21)</f>
        <v>46273</v>
      </c>
    </row>
    <row r="85" spans="1:4" x14ac:dyDescent="0.25">
      <c r="A85" s="42">
        <f t="shared" si="3"/>
        <v>84</v>
      </c>
      <c r="B85" s="42" cm="1">
        <f t="array" aca="1" ref="B85" ca="1">INDEX(Historical!$A$1:$A$18, RANDBETWEEN(1, COUNTA(Historical!$A$1:$A$18)))</f>
        <v>1.3214285714285714</v>
      </c>
      <c r="C85" s="42">
        <f ca="1">Inputs!$B$2/B85</f>
        <v>169.51351351351352</v>
      </c>
      <c r="D85" s="43">
        <f ca="1">WORKDAY(Inputs!$B$3, ROUND(C85, 0),Sheet2!$A$2:$A$21)</f>
        <v>46266</v>
      </c>
    </row>
    <row r="86" spans="1:4" x14ac:dyDescent="0.25">
      <c r="A86" s="42">
        <f t="shared" si="3"/>
        <v>85</v>
      </c>
      <c r="B86" s="42" cm="1">
        <f t="array" aca="1" ref="B86" ca="1">INDEX(Historical!$A$1:$A$18, RANDBETWEEN(1, COUNTA(Historical!$A$1:$A$18)))</f>
        <v>1.5</v>
      </c>
      <c r="C86" s="42">
        <f ca="1">Inputs!$B$2/B86</f>
        <v>149.33333333333334</v>
      </c>
      <c r="D86" s="43">
        <f ca="1">WORKDAY(Inputs!$B$3, ROUND(C86, 0),Sheet2!$A$2:$A$21)</f>
        <v>46237</v>
      </c>
    </row>
    <row r="87" spans="1:4" x14ac:dyDescent="0.25">
      <c r="A87" s="42">
        <f t="shared" si="3"/>
        <v>86</v>
      </c>
      <c r="B87" s="42" cm="1">
        <f t="array" aca="1" ref="B87" ca="1">INDEX(Historical!$A$1:$A$18, RANDBETWEEN(1, COUNTA(Historical!$A$1:$A$18)))</f>
        <v>1.368421052631579</v>
      </c>
      <c r="C87" s="42">
        <f ca="1">Inputs!$B$2/B87</f>
        <v>163.69230769230768</v>
      </c>
      <c r="D87" s="43">
        <f ca="1">WORKDAY(Inputs!$B$3, ROUND(C87, 0),Sheet2!$A$2:$A$21)</f>
        <v>46258</v>
      </c>
    </row>
    <row r="88" spans="1:4" x14ac:dyDescent="0.25">
      <c r="A88" s="42">
        <f t="shared" si="3"/>
        <v>87</v>
      </c>
      <c r="B88" s="42" cm="1">
        <f t="array" aca="1" ref="B88" ca="1">INDEX(Historical!$A$1:$A$18, RANDBETWEEN(1, COUNTA(Historical!$A$1:$A$18)))</f>
        <v>1.375</v>
      </c>
      <c r="C88" s="42">
        <f ca="1">Inputs!$B$2/B88</f>
        <v>162.90909090909091</v>
      </c>
      <c r="D88" s="43">
        <f ca="1">WORKDAY(Inputs!$B$3, ROUND(C88, 0),Sheet2!$A$2:$A$21)</f>
        <v>46255</v>
      </c>
    </row>
    <row r="89" spans="1:4" x14ac:dyDescent="0.25">
      <c r="A89" s="42">
        <f t="shared" si="3"/>
        <v>88</v>
      </c>
      <c r="B89" s="42" cm="1">
        <f t="array" aca="1" ref="B89" ca="1">INDEX(Historical!$A$1:$A$18, RANDBETWEEN(1, COUNTA(Historical!$A$1:$A$18)))</f>
        <v>1.2941176470588236</v>
      </c>
      <c r="C89" s="42">
        <f ca="1">Inputs!$B$2/B89</f>
        <v>173.09090909090909</v>
      </c>
      <c r="D89" s="43">
        <f ca="1">WORKDAY(Inputs!$B$3, ROUND(C89, 0),Sheet2!$A$2:$A$21)</f>
        <v>46269</v>
      </c>
    </row>
    <row r="90" spans="1:4" x14ac:dyDescent="0.25">
      <c r="A90" s="42">
        <f t="shared" si="3"/>
        <v>89</v>
      </c>
      <c r="B90" s="42" cm="1">
        <f t="array" aca="1" ref="B90" ca="1">INDEX(Historical!$A$1:$A$18, RANDBETWEEN(1, COUNTA(Historical!$A$1:$A$18)))</f>
        <v>1.3611111111111112</v>
      </c>
      <c r="C90" s="42">
        <f ca="1">Inputs!$B$2/B90</f>
        <v>164.57142857142856</v>
      </c>
      <c r="D90" s="43">
        <f ca="1">WORKDAY(Inputs!$B$3, ROUND(C90, 0),Sheet2!$A$2:$A$21)</f>
        <v>46259</v>
      </c>
    </row>
    <row r="91" spans="1:4" x14ac:dyDescent="0.25">
      <c r="A91" s="42">
        <f t="shared" si="3"/>
        <v>90</v>
      </c>
      <c r="B91" s="42" cm="1">
        <f t="array" aca="1" ref="B91" ca="1">INDEX(Historical!$A$1:$A$18, RANDBETWEEN(1, COUNTA(Historical!$A$1:$A$18)))</f>
        <v>1.4137931034482758</v>
      </c>
      <c r="C91" s="42">
        <f ca="1">Inputs!$B$2/B91</f>
        <v>158.4390243902439</v>
      </c>
      <c r="D91" s="43">
        <f ca="1">WORKDAY(Inputs!$B$3, ROUND(C91, 0),Sheet2!$A$2:$A$21)</f>
        <v>46248</v>
      </c>
    </row>
    <row r="92" spans="1:4" x14ac:dyDescent="0.25">
      <c r="A92" s="42">
        <f t="shared" si="3"/>
        <v>91</v>
      </c>
      <c r="B92" s="42" cm="1">
        <f t="array" aca="1" ref="B92" ca="1">INDEX(Historical!$A$1:$A$18, RANDBETWEEN(1, COUNTA(Historical!$A$1:$A$18)))</f>
        <v>1.3692307692307693</v>
      </c>
      <c r="C92" s="42">
        <f ca="1">Inputs!$B$2/B92</f>
        <v>163.59550561797752</v>
      </c>
      <c r="D92" s="43">
        <f ca="1">WORKDAY(Inputs!$B$3, ROUND(C92, 0),Sheet2!$A$2:$A$21)</f>
        <v>46258</v>
      </c>
    </row>
    <row r="93" spans="1:4" x14ac:dyDescent="0.25">
      <c r="A93" s="42">
        <f t="shared" si="3"/>
        <v>92</v>
      </c>
      <c r="B93" s="42" cm="1">
        <f t="array" aca="1" ref="B93" ca="1">INDEX(Historical!$A$1:$A$18, RANDBETWEEN(1, COUNTA(Historical!$A$1:$A$18)))</f>
        <v>1.1666666666666667</v>
      </c>
      <c r="C93" s="42">
        <f ca="1">Inputs!$B$2/B93</f>
        <v>192</v>
      </c>
      <c r="D93" s="43">
        <f ca="1">WORKDAY(Inputs!$B$3, ROUND(C93, 0),Sheet2!$A$2:$A$21)</f>
        <v>46297</v>
      </c>
    </row>
    <row r="94" spans="1:4" x14ac:dyDescent="0.25">
      <c r="A94" s="42">
        <f t="shared" si="3"/>
        <v>93</v>
      </c>
      <c r="B94" s="42" cm="1">
        <f t="array" aca="1" ref="B94" ca="1">INDEX(Historical!$A$1:$A$18, RANDBETWEEN(1, COUNTA(Historical!$A$1:$A$18)))</f>
        <v>1.3692307692307693</v>
      </c>
      <c r="C94" s="42">
        <f ca="1">Inputs!$B$2/B94</f>
        <v>163.59550561797752</v>
      </c>
      <c r="D94" s="43">
        <f ca="1">WORKDAY(Inputs!$B$3, ROUND(C94, 0),Sheet2!$A$2:$A$21)</f>
        <v>46258</v>
      </c>
    </row>
    <row r="95" spans="1:4" x14ac:dyDescent="0.25">
      <c r="A95" s="42">
        <f t="shared" si="3"/>
        <v>94</v>
      </c>
      <c r="B95" s="42" cm="1">
        <f t="array" aca="1" ref="B95" ca="1">INDEX(Historical!$A$1:$A$18, RANDBETWEEN(1, COUNTA(Historical!$A$1:$A$18)))</f>
        <v>1.4038461538461537</v>
      </c>
      <c r="C95" s="42">
        <f ca="1">Inputs!$B$2/B95</f>
        <v>159.56164383561645</v>
      </c>
      <c r="D95" s="43">
        <f ca="1">WORKDAY(Inputs!$B$3, ROUND(C95, 0),Sheet2!$A$2:$A$21)</f>
        <v>46252</v>
      </c>
    </row>
    <row r="96" spans="1:4" x14ac:dyDescent="0.25">
      <c r="A96" s="42">
        <f t="shared" si="3"/>
        <v>95</v>
      </c>
      <c r="B96" s="42" cm="1">
        <f t="array" aca="1" ref="B96" ca="1">INDEX(Historical!$A$1:$A$18, RANDBETWEEN(1, COUNTA(Historical!$A$1:$A$18)))</f>
        <v>1.3157894736842106</v>
      </c>
      <c r="C96" s="42">
        <f ca="1">Inputs!$B$2/B96</f>
        <v>170.23999999999998</v>
      </c>
      <c r="D96" s="43">
        <f ca="1">WORKDAY(Inputs!$B$3, ROUND(C96, 0),Sheet2!$A$2:$A$21)</f>
        <v>46266</v>
      </c>
    </row>
    <row r="97" spans="1:4" x14ac:dyDescent="0.25">
      <c r="A97" s="42">
        <f t="shared" si="3"/>
        <v>96</v>
      </c>
      <c r="B97" s="42" cm="1">
        <f t="array" aca="1" ref="B97" ca="1">INDEX(Historical!$A$1:$A$18, RANDBETWEEN(1, COUNTA(Historical!$A$1:$A$18)))</f>
        <v>1.375</v>
      </c>
      <c r="C97" s="42">
        <f ca="1">Inputs!$B$2/B97</f>
        <v>162.90909090909091</v>
      </c>
      <c r="D97" s="43">
        <f ca="1">WORKDAY(Inputs!$B$3, ROUND(C97, 0),Sheet2!$A$2:$A$21)</f>
        <v>46255</v>
      </c>
    </row>
    <row r="98" spans="1:4" x14ac:dyDescent="0.25">
      <c r="A98" s="42">
        <f t="shared" si="3"/>
        <v>97</v>
      </c>
      <c r="B98" s="42" cm="1">
        <f t="array" aca="1" ref="B98" ca="1">INDEX(Historical!$A$1:$A$18, RANDBETWEEN(1, COUNTA(Historical!$A$1:$A$18)))</f>
        <v>1.3617021276595744</v>
      </c>
      <c r="C98" s="42">
        <f ca="1">Inputs!$B$2/B98</f>
        <v>164.5</v>
      </c>
      <c r="D98" s="43">
        <f ca="1">WORKDAY(Inputs!$B$3, ROUND(C98, 0),Sheet2!$A$2:$A$21)</f>
        <v>46259</v>
      </c>
    </row>
    <row r="99" spans="1:4" x14ac:dyDescent="0.25">
      <c r="A99" s="42">
        <f t="shared" si="3"/>
        <v>98</v>
      </c>
      <c r="B99" s="42" cm="1">
        <f t="array" aca="1" ref="B99" ca="1">INDEX(Historical!$A$1:$A$18, RANDBETWEEN(1, COUNTA(Historical!$A$1:$A$18)))</f>
        <v>1.4347826086956521</v>
      </c>
      <c r="C99" s="42">
        <f ca="1">Inputs!$B$2/B99</f>
        <v>156.12121212121212</v>
      </c>
      <c r="D99" s="43">
        <f ca="1">WORKDAY(Inputs!$B$3, ROUND(C99, 0),Sheet2!$A$2:$A$21)</f>
        <v>46246</v>
      </c>
    </row>
    <row r="100" spans="1:4" x14ac:dyDescent="0.25">
      <c r="A100" s="42">
        <f t="shared" si="3"/>
        <v>99</v>
      </c>
      <c r="B100" s="42" cm="1">
        <f t="array" aca="1" ref="B100" ca="1">INDEX(Historical!$A$1:$A$18, RANDBETWEEN(1, COUNTA(Historical!$A$1:$A$18)))</f>
        <v>1.2941176470588236</v>
      </c>
      <c r="C100" s="42">
        <f ca="1">Inputs!$B$2/B100</f>
        <v>173.09090909090909</v>
      </c>
      <c r="D100" s="43">
        <f ca="1">WORKDAY(Inputs!$B$3, ROUND(C100, 0),Sheet2!$A$2:$A$21)</f>
        <v>46269</v>
      </c>
    </row>
    <row r="101" spans="1:4" x14ac:dyDescent="0.25">
      <c r="A101" s="42">
        <f t="shared" si="3"/>
        <v>100</v>
      </c>
      <c r="B101" s="42" cm="1">
        <f t="array" aca="1" ref="B101" ca="1">INDEX(Historical!$A$1:$A$18, RANDBETWEEN(1, COUNTA(Historical!$A$1:$A$18)))</f>
        <v>1.3214285714285714</v>
      </c>
      <c r="C101" s="42">
        <f ca="1">Inputs!$B$2/B101</f>
        <v>169.51351351351352</v>
      </c>
      <c r="D101" s="43">
        <f ca="1">WORKDAY(Inputs!$B$3, ROUND(C101, 0),Sheet2!$A$2:$A$21)</f>
        <v>46266</v>
      </c>
    </row>
    <row r="102" spans="1:4" x14ac:dyDescent="0.25">
      <c r="A102" s="42">
        <f t="shared" si="3"/>
        <v>101</v>
      </c>
      <c r="B102" s="42" cm="1">
        <f t="array" aca="1" ref="B102" ca="1">INDEX(Historical!$A$1:$A$18, RANDBETWEEN(1, COUNTA(Historical!$A$1:$A$18)))</f>
        <v>1.4038461538461537</v>
      </c>
      <c r="C102" s="42">
        <f ca="1">Inputs!$B$2/B102</f>
        <v>159.56164383561645</v>
      </c>
      <c r="D102" s="43">
        <f ca="1">WORKDAY(Inputs!$B$3, ROUND(C102, 0),Sheet2!$A$2:$A$21)</f>
        <v>46252</v>
      </c>
    </row>
    <row r="103" spans="1:4" x14ac:dyDescent="0.25">
      <c r="A103" s="42">
        <f t="shared" si="3"/>
        <v>102</v>
      </c>
      <c r="B103" s="42" cm="1">
        <f t="array" aca="1" ref="B103" ca="1">INDEX(Historical!$A$1:$A$18, RANDBETWEEN(1, COUNTA(Historical!$A$1:$A$18)))</f>
        <v>1.3617021276595744</v>
      </c>
      <c r="C103" s="42">
        <f ca="1">Inputs!$B$2/B103</f>
        <v>164.5</v>
      </c>
      <c r="D103" s="43">
        <f ca="1">WORKDAY(Inputs!$B$3, ROUND(C103, 0),Sheet2!$A$2:$A$21)</f>
        <v>46259</v>
      </c>
    </row>
    <row r="104" spans="1:4" x14ac:dyDescent="0.25">
      <c r="A104" s="42">
        <f t="shared" si="3"/>
        <v>103</v>
      </c>
      <c r="B104" s="42" cm="1">
        <f t="array" aca="1" ref="B104" ca="1">INDEX(Historical!$A$1:$A$18, RANDBETWEEN(1, COUNTA(Historical!$A$1:$A$18)))</f>
        <v>1.5</v>
      </c>
      <c r="C104" s="42">
        <f ca="1">Inputs!$B$2/B104</f>
        <v>149.33333333333334</v>
      </c>
      <c r="D104" s="43">
        <f ca="1">WORKDAY(Inputs!$B$3, ROUND(C104, 0),Sheet2!$A$2:$A$21)</f>
        <v>46237</v>
      </c>
    </row>
    <row r="105" spans="1:4" x14ac:dyDescent="0.25">
      <c r="A105" s="42">
        <f t="shared" si="3"/>
        <v>104</v>
      </c>
      <c r="B105" s="42" cm="1">
        <f t="array" aca="1" ref="B105" ca="1">INDEX(Historical!$A$1:$A$18, RANDBETWEEN(1, COUNTA(Historical!$A$1:$A$18)))</f>
        <v>1.290909090909091</v>
      </c>
      <c r="C105" s="42">
        <f ca="1">Inputs!$B$2/B105</f>
        <v>173.52112676056336</v>
      </c>
      <c r="D105" s="43">
        <f ca="1">WORKDAY(Inputs!$B$3, ROUND(C105, 0),Sheet2!$A$2:$A$21)</f>
        <v>46273</v>
      </c>
    </row>
    <row r="106" spans="1:4" x14ac:dyDescent="0.25">
      <c r="A106" s="42">
        <f t="shared" si="3"/>
        <v>105</v>
      </c>
      <c r="B106" s="42" cm="1">
        <f t="array" aca="1" ref="B106" ca="1">INDEX(Historical!$A$1:$A$18, RANDBETWEEN(1, COUNTA(Historical!$A$1:$A$18)))</f>
        <v>1.290909090909091</v>
      </c>
      <c r="C106" s="42">
        <f ca="1">Inputs!$B$2/B106</f>
        <v>173.52112676056336</v>
      </c>
      <c r="D106" s="43">
        <f ca="1">WORKDAY(Inputs!$B$3, ROUND(C106, 0),Sheet2!$A$2:$A$21)</f>
        <v>46273</v>
      </c>
    </row>
    <row r="107" spans="1:4" x14ac:dyDescent="0.25">
      <c r="A107" s="42">
        <f t="shared" si="3"/>
        <v>106</v>
      </c>
      <c r="B107" s="42" cm="1">
        <f t="array" aca="1" ref="B107" ca="1">INDEX(Historical!$A$1:$A$18, RANDBETWEEN(1, COUNTA(Historical!$A$1:$A$18)))</f>
        <v>1.4761904761904763</v>
      </c>
      <c r="C107" s="42">
        <f ca="1">Inputs!$B$2/B107</f>
        <v>151.74193548387095</v>
      </c>
      <c r="D107" s="43">
        <f ca="1">WORKDAY(Inputs!$B$3, ROUND(C107, 0),Sheet2!$A$2:$A$21)</f>
        <v>46240</v>
      </c>
    </row>
    <row r="108" spans="1:4" x14ac:dyDescent="0.25">
      <c r="A108" s="42">
        <f t="shared" si="3"/>
        <v>107</v>
      </c>
      <c r="B108" s="42" cm="1">
        <f t="array" aca="1" ref="B108" ca="1">INDEX(Historical!$A$1:$A$18, RANDBETWEEN(1, COUNTA(Historical!$A$1:$A$18)))</f>
        <v>1.368421052631579</v>
      </c>
      <c r="C108" s="42">
        <f ca="1">Inputs!$B$2/B108</f>
        <v>163.69230769230768</v>
      </c>
      <c r="D108" s="43">
        <f ca="1">WORKDAY(Inputs!$B$3, ROUND(C108, 0),Sheet2!$A$2:$A$21)</f>
        <v>46258</v>
      </c>
    </row>
    <row r="109" spans="1:4" x14ac:dyDescent="0.25">
      <c r="A109" s="42">
        <f t="shared" si="3"/>
        <v>108</v>
      </c>
      <c r="B109" s="42" cm="1">
        <f t="array" aca="1" ref="B109" ca="1">INDEX(Historical!$A$1:$A$18, RANDBETWEEN(1, COUNTA(Historical!$A$1:$A$18)))</f>
        <v>1.4137931034482758</v>
      </c>
      <c r="C109" s="42">
        <f ca="1">Inputs!$B$2/B109</f>
        <v>158.4390243902439</v>
      </c>
      <c r="D109" s="43">
        <f ca="1">WORKDAY(Inputs!$B$3, ROUND(C109, 0),Sheet2!$A$2:$A$21)</f>
        <v>46248</v>
      </c>
    </row>
    <row r="110" spans="1:4" x14ac:dyDescent="0.25">
      <c r="A110" s="42">
        <f t="shared" si="3"/>
        <v>109</v>
      </c>
      <c r="B110" s="42" cm="1">
        <f t="array" aca="1" ref="B110" ca="1">INDEX(Historical!$A$1:$A$18, RANDBETWEEN(1, COUNTA(Historical!$A$1:$A$18)))</f>
        <v>1.1666666666666667</v>
      </c>
      <c r="C110" s="42">
        <f ca="1">Inputs!$B$2/B110</f>
        <v>192</v>
      </c>
      <c r="D110" s="43">
        <f ca="1">WORKDAY(Inputs!$B$3, ROUND(C110, 0),Sheet2!$A$2:$A$21)</f>
        <v>46297</v>
      </c>
    </row>
    <row r="111" spans="1:4" x14ac:dyDescent="0.25">
      <c r="A111" s="42">
        <f t="shared" si="3"/>
        <v>110</v>
      </c>
      <c r="B111" s="42" cm="1">
        <f t="array" aca="1" ref="B111" ca="1">INDEX(Historical!$A$1:$A$18, RANDBETWEEN(1, COUNTA(Historical!$A$1:$A$18)))</f>
        <v>1.290909090909091</v>
      </c>
      <c r="C111" s="42">
        <f ca="1">Inputs!$B$2/B111</f>
        <v>173.52112676056336</v>
      </c>
      <c r="D111" s="43">
        <f ca="1">WORKDAY(Inputs!$B$3, ROUND(C111, 0),Sheet2!$A$2:$A$21)</f>
        <v>46273</v>
      </c>
    </row>
    <row r="112" spans="1:4" x14ac:dyDescent="0.25">
      <c r="A112" s="42">
        <f t="shared" si="3"/>
        <v>111</v>
      </c>
      <c r="B112" s="42" cm="1">
        <f t="array" aca="1" ref="B112" ca="1">INDEX(Historical!$A$1:$A$18, RANDBETWEEN(1, COUNTA(Historical!$A$1:$A$18)))</f>
        <v>1.368421052631579</v>
      </c>
      <c r="C112" s="42">
        <f ca="1">Inputs!$B$2/B112</f>
        <v>163.69230769230768</v>
      </c>
      <c r="D112" s="43">
        <f ca="1">WORKDAY(Inputs!$B$3, ROUND(C112, 0),Sheet2!$A$2:$A$21)</f>
        <v>46258</v>
      </c>
    </row>
    <row r="113" spans="1:4" x14ac:dyDescent="0.25">
      <c r="A113" s="42">
        <f t="shared" si="3"/>
        <v>112</v>
      </c>
      <c r="B113" s="42" cm="1">
        <f t="array" aca="1" ref="B113" ca="1">INDEX(Historical!$A$1:$A$18, RANDBETWEEN(1, COUNTA(Historical!$A$1:$A$18)))</f>
        <v>1.5</v>
      </c>
      <c r="C113" s="42">
        <f ca="1">Inputs!$B$2/B113</f>
        <v>149.33333333333334</v>
      </c>
      <c r="D113" s="43">
        <f ca="1">WORKDAY(Inputs!$B$3, ROUND(C113, 0),Sheet2!$A$2:$A$21)</f>
        <v>46237</v>
      </c>
    </row>
    <row r="114" spans="1:4" x14ac:dyDescent="0.25">
      <c r="A114" s="42">
        <f t="shared" si="3"/>
        <v>113</v>
      </c>
      <c r="B114" s="42" cm="1">
        <f t="array" aca="1" ref="B114" ca="1">INDEX(Historical!$A$1:$A$18, RANDBETWEEN(1, COUNTA(Historical!$A$1:$A$18)))</f>
        <v>1.5</v>
      </c>
      <c r="C114" s="42">
        <f ca="1">Inputs!$B$2/B114</f>
        <v>149.33333333333334</v>
      </c>
      <c r="D114" s="43">
        <f ca="1">WORKDAY(Inputs!$B$3, ROUND(C114, 0),Sheet2!$A$2:$A$21)</f>
        <v>46237</v>
      </c>
    </row>
    <row r="115" spans="1:4" x14ac:dyDescent="0.25">
      <c r="A115" s="42">
        <f t="shared" si="3"/>
        <v>114</v>
      </c>
      <c r="B115" s="42" cm="1">
        <f t="array" aca="1" ref="B115" ca="1">INDEX(Historical!$A$1:$A$18, RANDBETWEEN(1, COUNTA(Historical!$A$1:$A$18)))</f>
        <v>1.5</v>
      </c>
      <c r="C115" s="42">
        <f ca="1">Inputs!$B$2/B115</f>
        <v>149.33333333333334</v>
      </c>
      <c r="D115" s="43">
        <f ca="1">WORKDAY(Inputs!$B$3, ROUND(C115, 0),Sheet2!$A$2:$A$21)</f>
        <v>46237</v>
      </c>
    </row>
    <row r="116" spans="1:4" x14ac:dyDescent="0.25">
      <c r="A116" s="42">
        <f t="shared" si="3"/>
        <v>115</v>
      </c>
      <c r="B116" s="42" cm="1">
        <f t="array" aca="1" ref="B116" ca="1">INDEX(Historical!$A$1:$A$18, RANDBETWEEN(1, COUNTA(Historical!$A$1:$A$18)))</f>
        <v>1.3611111111111112</v>
      </c>
      <c r="C116" s="42">
        <f ca="1">Inputs!$B$2/B116</f>
        <v>164.57142857142856</v>
      </c>
      <c r="D116" s="43">
        <f ca="1">WORKDAY(Inputs!$B$3, ROUND(C116, 0),Sheet2!$A$2:$A$21)</f>
        <v>46259</v>
      </c>
    </row>
    <row r="117" spans="1:4" x14ac:dyDescent="0.25">
      <c r="A117" s="42">
        <f t="shared" si="3"/>
        <v>116</v>
      </c>
      <c r="B117" s="42" cm="1">
        <f t="array" aca="1" ref="B117" ca="1">INDEX(Historical!$A$1:$A$18, RANDBETWEEN(1, COUNTA(Historical!$A$1:$A$18)))</f>
        <v>1.303030303030303</v>
      </c>
      <c r="C117" s="42">
        <f ca="1">Inputs!$B$2/B117</f>
        <v>171.90697674418604</v>
      </c>
      <c r="D117" s="43">
        <f ca="1">WORKDAY(Inputs!$B$3, ROUND(C117, 0),Sheet2!$A$2:$A$21)</f>
        <v>46268</v>
      </c>
    </row>
    <row r="118" spans="1:4" x14ac:dyDescent="0.25">
      <c r="A118" s="42">
        <f t="shared" si="3"/>
        <v>117</v>
      </c>
      <c r="B118" s="42" cm="1">
        <f t="array" aca="1" ref="B118" ca="1">INDEX(Historical!$A$1:$A$18, RANDBETWEEN(1, COUNTA(Historical!$A$1:$A$18)))</f>
        <v>1.303030303030303</v>
      </c>
      <c r="C118" s="42">
        <f ca="1">Inputs!$B$2/B118</f>
        <v>171.90697674418604</v>
      </c>
      <c r="D118" s="43">
        <f ca="1">WORKDAY(Inputs!$B$3, ROUND(C118, 0),Sheet2!$A$2:$A$21)</f>
        <v>46268</v>
      </c>
    </row>
    <row r="119" spans="1:4" x14ac:dyDescent="0.25">
      <c r="A119" s="42">
        <f t="shared" si="3"/>
        <v>118</v>
      </c>
      <c r="B119" s="42" cm="1">
        <f t="array" aca="1" ref="B119" ca="1">INDEX(Historical!$A$1:$A$18, RANDBETWEEN(1, COUNTA(Historical!$A$1:$A$18)))</f>
        <v>1.3559322033898304</v>
      </c>
      <c r="C119" s="42">
        <f ca="1">Inputs!$B$2/B119</f>
        <v>165.20000000000002</v>
      </c>
      <c r="D119" s="43">
        <f ca="1">WORKDAY(Inputs!$B$3, ROUND(C119, 0),Sheet2!$A$2:$A$21)</f>
        <v>46259</v>
      </c>
    </row>
    <row r="120" spans="1:4" x14ac:dyDescent="0.25">
      <c r="A120" s="42">
        <f t="shared" si="3"/>
        <v>119</v>
      </c>
      <c r="B120" s="42" cm="1">
        <f t="array" aca="1" ref="B120" ca="1">INDEX(Historical!$A$1:$A$18, RANDBETWEEN(1, COUNTA(Historical!$A$1:$A$18)))</f>
        <v>1.3611111111111112</v>
      </c>
      <c r="C120" s="42">
        <f ca="1">Inputs!$B$2/B120</f>
        <v>164.57142857142856</v>
      </c>
      <c r="D120" s="43">
        <f ca="1">WORKDAY(Inputs!$B$3, ROUND(C120, 0),Sheet2!$A$2:$A$21)</f>
        <v>46259</v>
      </c>
    </row>
    <row r="121" spans="1:4" x14ac:dyDescent="0.25">
      <c r="A121" s="42">
        <f t="shared" si="3"/>
        <v>120</v>
      </c>
      <c r="B121" s="42" cm="1">
        <f t="array" aca="1" ref="B121" ca="1">INDEX(Historical!$A$1:$A$18, RANDBETWEEN(1, COUNTA(Historical!$A$1:$A$18)))</f>
        <v>1.4761904761904763</v>
      </c>
      <c r="C121" s="42">
        <f ca="1">Inputs!$B$2/B121</f>
        <v>151.74193548387095</v>
      </c>
      <c r="D121" s="43">
        <f ca="1">WORKDAY(Inputs!$B$3, ROUND(C121, 0),Sheet2!$A$2:$A$21)</f>
        <v>46240</v>
      </c>
    </row>
    <row r="122" spans="1:4" x14ac:dyDescent="0.25">
      <c r="A122" s="42">
        <f t="shared" si="3"/>
        <v>121</v>
      </c>
      <c r="B122" s="42" cm="1">
        <f t="array" aca="1" ref="B122" ca="1">INDEX(Historical!$A$1:$A$18, RANDBETWEEN(1, COUNTA(Historical!$A$1:$A$18)))</f>
        <v>1.3611111111111112</v>
      </c>
      <c r="C122" s="42">
        <f ca="1">Inputs!$B$2/B122</f>
        <v>164.57142857142856</v>
      </c>
      <c r="D122" s="43">
        <f ca="1">WORKDAY(Inputs!$B$3, ROUND(C122, 0),Sheet2!$A$2:$A$21)</f>
        <v>46259</v>
      </c>
    </row>
    <row r="123" spans="1:4" x14ac:dyDescent="0.25">
      <c r="A123" s="42">
        <f t="shared" si="3"/>
        <v>122</v>
      </c>
      <c r="B123" s="42" cm="1">
        <f t="array" aca="1" ref="B123" ca="1">INDEX(Historical!$A$1:$A$18, RANDBETWEEN(1, COUNTA(Historical!$A$1:$A$18)))</f>
        <v>1.4038461538461537</v>
      </c>
      <c r="C123" s="42">
        <f ca="1">Inputs!$B$2/B123</f>
        <v>159.56164383561645</v>
      </c>
      <c r="D123" s="43">
        <f ca="1">WORKDAY(Inputs!$B$3, ROUND(C123, 0),Sheet2!$A$2:$A$21)</f>
        <v>46252</v>
      </c>
    </row>
    <row r="124" spans="1:4" x14ac:dyDescent="0.25">
      <c r="A124" s="42">
        <f t="shared" si="3"/>
        <v>123</v>
      </c>
      <c r="B124" s="42" cm="1">
        <f t="array" aca="1" ref="B124" ca="1">INDEX(Historical!$A$1:$A$18, RANDBETWEEN(1, COUNTA(Historical!$A$1:$A$18)))</f>
        <v>1.3617021276595744</v>
      </c>
      <c r="C124" s="42">
        <f ca="1">Inputs!$B$2/B124</f>
        <v>164.5</v>
      </c>
      <c r="D124" s="43">
        <f ca="1">WORKDAY(Inputs!$B$3, ROUND(C124, 0),Sheet2!$A$2:$A$21)</f>
        <v>46259</v>
      </c>
    </row>
    <row r="125" spans="1:4" x14ac:dyDescent="0.25">
      <c r="A125" s="42">
        <f t="shared" si="3"/>
        <v>124</v>
      </c>
      <c r="B125" s="42" cm="1">
        <f t="array" aca="1" ref="B125" ca="1">INDEX(Historical!$A$1:$A$18, RANDBETWEEN(1, COUNTA(Historical!$A$1:$A$18)))</f>
        <v>1.3611111111111112</v>
      </c>
      <c r="C125" s="42">
        <f ca="1">Inputs!$B$2/B125</f>
        <v>164.57142857142856</v>
      </c>
      <c r="D125" s="43">
        <f ca="1">WORKDAY(Inputs!$B$3, ROUND(C125, 0),Sheet2!$A$2:$A$21)</f>
        <v>46259</v>
      </c>
    </row>
    <row r="126" spans="1:4" x14ac:dyDescent="0.25">
      <c r="A126" s="42">
        <f t="shared" si="3"/>
        <v>125</v>
      </c>
      <c r="B126" s="42" cm="1">
        <f t="array" aca="1" ref="B126" ca="1">INDEX(Historical!$A$1:$A$18, RANDBETWEEN(1, COUNTA(Historical!$A$1:$A$18)))</f>
        <v>1.3611111111111112</v>
      </c>
      <c r="C126" s="42">
        <f ca="1">Inputs!$B$2/B126</f>
        <v>164.57142857142856</v>
      </c>
      <c r="D126" s="43">
        <f ca="1">WORKDAY(Inputs!$B$3, ROUND(C126, 0),Sheet2!$A$2:$A$21)</f>
        <v>46259</v>
      </c>
    </row>
    <row r="127" spans="1:4" x14ac:dyDescent="0.25">
      <c r="A127" s="42">
        <f t="shared" si="3"/>
        <v>126</v>
      </c>
      <c r="B127" s="42" cm="1">
        <f t="array" aca="1" ref="B127" ca="1">INDEX(Historical!$A$1:$A$18, RANDBETWEEN(1, COUNTA(Historical!$A$1:$A$18)))</f>
        <v>1.3692307692307693</v>
      </c>
      <c r="C127" s="42">
        <f ca="1">Inputs!$B$2/B127</f>
        <v>163.59550561797752</v>
      </c>
      <c r="D127" s="43">
        <f ca="1">WORKDAY(Inputs!$B$3, ROUND(C127, 0),Sheet2!$A$2:$A$21)</f>
        <v>46258</v>
      </c>
    </row>
    <row r="128" spans="1:4" x14ac:dyDescent="0.25">
      <c r="A128" s="42">
        <f t="shared" si="3"/>
        <v>127</v>
      </c>
      <c r="B128" s="42" cm="1">
        <f t="array" aca="1" ref="B128" ca="1">INDEX(Historical!$A$1:$A$18, RANDBETWEEN(1, COUNTA(Historical!$A$1:$A$18)))</f>
        <v>1.4347826086956521</v>
      </c>
      <c r="C128" s="42">
        <f ca="1">Inputs!$B$2/B128</f>
        <v>156.12121212121212</v>
      </c>
      <c r="D128" s="43">
        <f ca="1">WORKDAY(Inputs!$B$3, ROUND(C128, 0),Sheet2!$A$2:$A$21)</f>
        <v>46246</v>
      </c>
    </row>
    <row r="129" spans="1:4" x14ac:dyDescent="0.25">
      <c r="A129" s="42">
        <f t="shared" si="3"/>
        <v>128</v>
      </c>
      <c r="B129" s="42" cm="1">
        <f t="array" aca="1" ref="B129" ca="1">INDEX(Historical!$A$1:$A$18, RANDBETWEEN(1, COUNTA(Historical!$A$1:$A$18)))</f>
        <v>1.3214285714285714</v>
      </c>
      <c r="C129" s="42">
        <f ca="1">Inputs!$B$2/B129</f>
        <v>169.51351351351352</v>
      </c>
      <c r="D129" s="43">
        <f ca="1">WORKDAY(Inputs!$B$3, ROUND(C129, 0),Sheet2!$A$2:$A$21)</f>
        <v>46266</v>
      </c>
    </row>
    <row r="130" spans="1:4" x14ac:dyDescent="0.25">
      <c r="A130" s="42">
        <f t="shared" si="3"/>
        <v>129</v>
      </c>
      <c r="B130" s="42" cm="1">
        <f t="array" aca="1" ref="B130" ca="1">INDEX(Historical!$A$1:$A$18, RANDBETWEEN(1, COUNTA(Historical!$A$1:$A$18)))</f>
        <v>1.368421052631579</v>
      </c>
      <c r="C130" s="42">
        <f ca="1">Inputs!$B$2/B130</f>
        <v>163.69230769230768</v>
      </c>
      <c r="D130" s="43">
        <f ca="1">WORKDAY(Inputs!$B$3, ROUND(C130, 0),Sheet2!$A$2:$A$21)</f>
        <v>46258</v>
      </c>
    </row>
    <row r="131" spans="1:4" x14ac:dyDescent="0.25">
      <c r="A131" s="42">
        <f t="shared" ref="A131:A194" si="4">ROW()-1</f>
        <v>130</v>
      </c>
      <c r="B131" s="42" cm="1">
        <f t="array" aca="1" ref="B131" ca="1">INDEX(Historical!$A$1:$A$18, RANDBETWEEN(1, COUNTA(Historical!$A$1:$A$18)))</f>
        <v>1.368421052631579</v>
      </c>
      <c r="C131" s="42">
        <f ca="1">Inputs!$B$2/B131</f>
        <v>163.69230769230768</v>
      </c>
      <c r="D131" s="43">
        <f ca="1">WORKDAY(Inputs!$B$3, ROUND(C131, 0),Sheet2!$A$2:$A$21)</f>
        <v>46258</v>
      </c>
    </row>
    <row r="132" spans="1:4" x14ac:dyDescent="0.25">
      <c r="A132" s="42">
        <f t="shared" si="4"/>
        <v>131</v>
      </c>
      <c r="B132" s="42" cm="1">
        <f t="array" aca="1" ref="B132" ca="1">INDEX(Historical!$A$1:$A$18, RANDBETWEEN(1, COUNTA(Historical!$A$1:$A$18)))</f>
        <v>1.4038461538461537</v>
      </c>
      <c r="C132" s="42">
        <f ca="1">Inputs!$B$2/B132</f>
        <v>159.56164383561645</v>
      </c>
      <c r="D132" s="43">
        <f ca="1">WORKDAY(Inputs!$B$3, ROUND(C132, 0),Sheet2!$A$2:$A$21)</f>
        <v>46252</v>
      </c>
    </row>
    <row r="133" spans="1:4" x14ac:dyDescent="0.25">
      <c r="A133" s="42">
        <f t="shared" si="4"/>
        <v>132</v>
      </c>
      <c r="B133" s="42" cm="1">
        <f t="array" aca="1" ref="B133" ca="1">INDEX(Historical!$A$1:$A$18, RANDBETWEEN(1, COUNTA(Historical!$A$1:$A$18)))</f>
        <v>1.4347826086956521</v>
      </c>
      <c r="C133" s="42">
        <f ca="1">Inputs!$B$2/B133</f>
        <v>156.12121212121212</v>
      </c>
      <c r="D133" s="43">
        <f ca="1">WORKDAY(Inputs!$B$3, ROUND(C133, 0),Sheet2!$A$2:$A$21)</f>
        <v>46246</v>
      </c>
    </row>
    <row r="134" spans="1:4" x14ac:dyDescent="0.25">
      <c r="A134" s="42">
        <f t="shared" si="4"/>
        <v>133</v>
      </c>
      <c r="B134" s="42" cm="1">
        <f t="array" aca="1" ref="B134" ca="1">INDEX(Historical!$A$1:$A$18, RANDBETWEEN(1, COUNTA(Historical!$A$1:$A$18)))</f>
        <v>1.368421052631579</v>
      </c>
      <c r="C134" s="42">
        <f ca="1">Inputs!$B$2/B134</f>
        <v>163.69230769230768</v>
      </c>
      <c r="D134" s="43">
        <f ca="1">WORKDAY(Inputs!$B$3, ROUND(C134, 0),Sheet2!$A$2:$A$21)</f>
        <v>46258</v>
      </c>
    </row>
    <row r="135" spans="1:4" x14ac:dyDescent="0.25">
      <c r="A135" s="42">
        <f t="shared" si="4"/>
        <v>134</v>
      </c>
      <c r="B135" s="42" cm="1">
        <f t="array" aca="1" ref="B135" ca="1">INDEX(Historical!$A$1:$A$18, RANDBETWEEN(1, COUNTA(Historical!$A$1:$A$18)))</f>
        <v>1.3559322033898304</v>
      </c>
      <c r="C135" s="42">
        <f ca="1">Inputs!$B$2/B135</f>
        <v>165.20000000000002</v>
      </c>
      <c r="D135" s="43">
        <f ca="1">WORKDAY(Inputs!$B$3, ROUND(C135, 0),Sheet2!$A$2:$A$21)</f>
        <v>46259</v>
      </c>
    </row>
    <row r="136" spans="1:4" x14ac:dyDescent="0.25">
      <c r="A136" s="42">
        <f t="shared" si="4"/>
        <v>135</v>
      </c>
      <c r="B136" s="42" cm="1">
        <f t="array" aca="1" ref="B136" ca="1">INDEX(Historical!$A$1:$A$18, RANDBETWEEN(1, COUNTA(Historical!$A$1:$A$18)))</f>
        <v>1.290909090909091</v>
      </c>
      <c r="C136" s="42">
        <f ca="1">Inputs!$B$2/B136</f>
        <v>173.52112676056336</v>
      </c>
      <c r="D136" s="43">
        <f ca="1">WORKDAY(Inputs!$B$3, ROUND(C136, 0),Sheet2!$A$2:$A$21)</f>
        <v>46273</v>
      </c>
    </row>
    <row r="137" spans="1:4" x14ac:dyDescent="0.25">
      <c r="A137" s="42">
        <f t="shared" si="4"/>
        <v>136</v>
      </c>
      <c r="B137" s="42" cm="1">
        <f t="array" aca="1" ref="B137" ca="1">INDEX(Historical!$A$1:$A$18, RANDBETWEEN(1, COUNTA(Historical!$A$1:$A$18)))</f>
        <v>1.368421052631579</v>
      </c>
      <c r="C137" s="42">
        <f ca="1">Inputs!$B$2/B137</f>
        <v>163.69230769230768</v>
      </c>
      <c r="D137" s="43">
        <f ca="1">WORKDAY(Inputs!$B$3, ROUND(C137, 0),Sheet2!$A$2:$A$21)</f>
        <v>46258</v>
      </c>
    </row>
    <row r="138" spans="1:4" x14ac:dyDescent="0.25">
      <c r="A138" s="42">
        <f t="shared" si="4"/>
        <v>137</v>
      </c>
      <c r="B138" s="42" cm="1">
        <f t="array" aca="1" ref="B138" ca="1">INDEX(Historical!$A$1:$A$18, RANDBETWEEN(1, COUNTA(Historical!$A$1:$A$18)))</f>
        <v>1.4761904761904763</v>
      </c>
      <c r="C138" s="42">
        <f ca="1">Inputs!$B$2/B138</f>
        <v>151.74193548387095</v>
      </c>
      <c r="D138" s="43">
        <f ca="1">WORKDAY(Inputs!$B$3, ROUND(C138, 0),Sheet2!$A$2:$A$21)</f>
        <v>46240</v>
      </c>
    </row>
    <row r="139" spans="1:4" x14ac:dyDescent="0.25">
      <c r="A139" s="42">
        <f t="shared" si="4"/>
        <v>138</v>
      </c>
      <c r="B139" s="42" cm="1">
        <f t="array" aca="1" ref="B139" ca="1">INDEX(Historical!$A$1:$A$18, RANDBETWEEN(1, COUNTA(Historical!$A$1:$A$18)))</f>
        <v>1.3617021276595744</v>
      </c>
      <c r="C139" s="42">
        <f ca="1">Inputs!$B$2/B139</f>
        <v>164.5</v>
      </c>
      <c r="D139" s="43">
        <f ca="1">WORKDAY(Inputs!$B$3, ROUND(C139, 0),Sheet2!$A$2:$A$21)</f>
        <v>46259</v>
      </c>
    </row>
    <row r="140" spans="1:4" x14ac:dyDescent="0.25">
      <c r="A140" s="42">
        <f t="shared" si="4"/>
        <v>139</v>
      </c>
      <c r="B140" s="42" cm="1">
        <f t="array" aca="1" ref="B140" ca="1">INDEX(Historical!$A$1:$A$18, RANDBETWEEN(1, COUNTA(Historical!$A$1:$A$18)))</f>
        <v>1.4137931034482758</v>
      </c>
      <c r="C140" s="42">
        <f ca="1">Inputs!$B$2/B140</f>
        <v>158.4390243902439</v>
      </c>
      <c r="D140" s="43">
        <f ca="1">WORKDAY(Inputs!$B$3, ROUND(C140, 0),Sheet2!$A$2:$A$21)</f>
        <v>46248</v>
      </c>
    </row>
    <row r="141" spans="1:4" x14ac:dyDescent="0.25">
      <c r="A141" s="42">
        <f t="shared" si="4"/>
        <v>140</v>
      </c>
      <c r="B141" s="42" cm="1">
        <f t="array" aca="1" ref="B141" ca="1">INDEX(Historical!$A$1:$A$18, RANDBETWEEN(1, COUNTA(Historical!$A$1:$A$18)))</f>
        <v>1.4137931034482758</v>
      </c>
      <c r="C141" s="42">
        <f ca="1">Inputs!$B$2/B141</f>
        <v>158.4390243902439</v>
      </c>
      <c r="D141" s="43">
        <f ca="1">WORKDAY(Inputs!$B$3, ROUND(C141, 0),Sheet2!$A$2:$A$21)</f>
        <v>46248</v>
      </c>
    </row>
    <row r="142" spans="1:4" x14ac:dyDescent="0.25">
      <c r="A142" s="42">
        <f t="shared" si="4"/>
        <v>141</v>
      </c>
      <c r="B142" s="42" cm="1">
        <f t="array" aca="1" ref="B142" ca="1">INDEX(Historical!$A$1:$A$18, RANDBETWEEN(1, COUNTA(Historical!$A$1:$A$18)))</f>
        <v>1.303030303030303</v>
      </c>
      <c r="C142" s="42">
        <f ca="1">Inputs!$B$2/B142</f>
        <v>171.90697674418604</v>
      </c>
      <c r="D142" s="43">
        <f ca="1">WORKDAY(Inputs!$B$3, ROUND(C142, 0),Sheet2!$A$2:$A$21)</f>
        <v>46268</v>
      </c>
    </row>
    <row r="143" spans="1:4" x14ac:dyDescent="0.25">
      <c r="A143" s="42">
        <f t="shared" si="4"/>
        <v>142</v>
      </c>
      <c r="B143" s="42" cm="1">
        <f t="array" aca="1" ref="B143" ca="1">INDEX(Historical!$A$1:$A$18, RANDBETWEEN(1, COUNTA(Historical!$A$1:$A$18)))</f>
        <v>1.3611111111111112</v>
      </c>
      <c r="C143" s="42">
        <f ca="1">Inputs!$B$2/B143</f>
        <v>164.57142857142856</v>
      </c>
      <c r="D143" s="43">
        <f ca="1">WORKDAY(Inputs!$B$3, ROUND(C143, 0),Sheet2!$A$2:$A$21)</f>
        <v>46259</v>
      </c>
    </row>
    <row r="144" spans="1:4" x14ac:dyDescent="0.25">
      <c r="A144" s="42">
        <f t="shared" si="4"/>
        <v>143</v>
      </c>
      <c r="B144" s="42" cm="1">
        <f t="array" aca="1" ref="B144" ca="1">INDEX(Historical!$A$1:$A$18, RANDBETWEEN(1, COUNTA(Historical!$A$1:$A$18)))</f>
        <v>1.4347826086956521</v>
      </c>
      <c r="C144" s="42">
        <f ca="1">Inputs!$B$2/B144</f>
        <v>156.12121212121212</v>
      </c>
      <c r="D144" s="43">
        <f ca="1">WORKDAY(Inputs!$B$3, ROUND(C144, 0),Sheet2!$A$2:$A$21)</f>
        <v>46246</v>
      </c>
    </row>
    <row r="145" spans="1:4" x14ac:dyDescent="0.25">
      <c r="A145" s="42">
        <f t="shared" si="4"/>
        <v>144</v>
      </c>
      <c r="B145" s="42" cm="1">
        <f t="array" aca="1" ref="B145" ca="1">INDEX(Historical!$A$1:$A$18, RANDBETWEEN(1, COUNTA(Historical!$A$1:$A$18)))</f>
        <v>1.3692307692307693</v>
      </c>
      <c r="C145" s="42">
        <f ca="1">Inputs!$B$2/B145</f>
        <v>163.59550561797752</v>
      </c>
      <c r="D145" s="43">
        <f ca="1">WORKDAY(Inputs!$B$3, ROUND(C145, 0),Sheet2!$A$2:$A$21)</f>
        <v>46258</v>
      </c>
    </row>
    <row r="146" spans="1:4" x14ac:dyDescent="0.25">
      <c r="A146" s="42">
        <f t="shared" si="4"/>
        <v>145</v>
      </c>
      <c r="B146" s="42" cm="1">
        <f t="array" aca="1" ref="B146" ca="1">INDEX(Historical!$A$1:$A$18, RANDBETWEEN(1, COUNTA(Historical!$A$1:$A$18)))</f>
        <v>1.3692307692307693</v>
      </c>
      <c r="C146" s="42">
        <f ca="1">Inputs!$B$2/B146</f>
        <v>163.59550561797752</v>
      </c>
      <c r="D146" s="43">
        <f ca="1">WORKDAY(Inputs!$B$3, ROUND(C146, 0),Sheet2!$A$2:$A$21)</f>
        <v>46258</v>
      </c>
    </row>
    <row r="147" spans="1:4" x14ac:dyDescent="0.25">
      <c r="A147" s="42">
        <f t="shared" si="4"/>
        <v>146</v>
      </c>
      <c r="B147" s="42" cm="1">
        <f t="array" aca="1" ref="B147" ca="1">INDEX(Historical!$A$1:$A$18, RANDBETWEEN(1, COUNTA(Historical!$A$1:$A$18)))</f>
        <v>1.4761904761904763</v>
      </c>
      <c r="C147" s="42">
        <f ca="1">Inputs!$B$2/B147</f>
        <v>151.74193548387095</v>
      </c>
      <c r="D147" s="43">
        <f ca="1">WORKDAY(Inputs!$B$3, ROUND(C147, 0),Sheet2!$A$2:$A$21)</f>
        <v>46240</v>
      </c>
    </row>
    <row r="148" spans="1:4" x14ac:dyDescent="0.25">
      <c r="A148" s="42">
        <f t="shared" si="4"/>
        <v>147</v>
      </c>
      <c r="B148" s="42" cm="1">
        <f t="array" aca="1" ref="B148" ca="1">INDEX(Historical!$A$1:$A$18, RANDBETWEEN(1, COUNTA(Historical!$A$1:$A$18)))</f>
        <v>1.368421052631579</v>
      </c>
      <c r="C148" s="42">
        <f ca="1">Inputs!$B$2/B148</f>
        <v>163.69230769230768</v>
      </c>
      <c r="D148" s="43">
        <f ca="1">WORKDAY(Inputs!$B$3, ROUND(C148, 0),Sheet2!$A$2:$A$21)</f>
        <v>46258</v>
      </c>
    </row>
    <row r="149" spans="1:4" x14ac:dyDescent="0.25">
      <c r="A149" s="42">
        <f t="shared" si="4"/>
        <v>148</v>
      </c>
      <c r="B149" s="42" cm="1">
        <f t="array" aca="1" ref="B149" ca="1">INDEX(Historical!$A$1:$A$18, RANDBETWEEN(1, COUNTA(Historical!$A$1:$A$18)))</f>
        <v>1.3707865168539326</v>
      </c>
      <c r="C149" s="42">
        <f ca="1">Inputs!$B$2/B149</f>
        <v>163.40983606557376</v>
      </c>
      <c r="D149" s="43">
        <f ca="1">WORKDAY(Inputs!$B$3, ROUND(C149, 0),Sheet2!$A$2:$A$21)</f>
        <v>46255</v>
      </c>
    </row>
    <row r="150" spans="1:4" x14ac:dyDescent="0.25">
      <c r="A150" s="42">
        <f t="shared" si="4"/>
        <v>149</v>
      </c>
      <c r="B150" s="42" cm="1">
        <f t="array" aca="1" ref="B150" ca="1">INDEX(Historical!$A$1:$A$18, RANDBETWEEN(1, COUNTA(Historical!$A$1:$A$18)))</f>
        <v>1.4038461538461537</v>
      </c>
      <c r="C150" s="42">
        <f ca="1">Inputs!$B$2/B150</f>
        <v>159.56164383561645</v>
      </c>
      <c r="D150" s="43">
        <f ca="1">WORKDAY(Inputs!$B$3, ROUND(C150, 0),Sheet2!$A$2:$A$21)</f>
        <v>46252</v>
      </c>
    </row>
    <row r="151" spans="1:4" x14ac:dyDescent="0.25">
      <c r="A151" s="42">
        <f t="shared" si="4"/>
        <v>150</v>
      </c>
      <c r="B151" s="42" cm="1">
        <f t="array" aca="1" ref="B151" ca="1">INDEX(Historical!$A$1:$A$18, RANDBETWEEN(1, COUNTA(Historical!$A$1:$A$18)))</f>
        <v>1.3617021276595744</v>
      </c>
      <c r="C151" s="42">
        <f ca="1">Inputs!$B$2/B151</f>
        <v>164.5</v>
      </c>
      <c r="D151" s="43">
        <f ca="1">WORKDAY(Inputs!$B$3, ROUND(C151, 0),Sheet2!$A$2:$A$21)</f>
        <v>46259</v>
      </c>
    </row>
    <row r="152" spans="1:4" x14ac:dyDescent="0.25">
      <c r="A152" s="42">
        <f t="shared" si="4"/>
        <v>151</v>
      </c>
      <c r="B152" s="42" cm="1">
        <f t="array" aca="1" ref="B152" ca="1">INDEX(Historical!$A$1:$A$18, RANDBETWEEN(1, COUNTA(Historical!$A$1:$A$18)))</f>
        <v>1.2941176470588236</v>
      </c>
      <c r="C152" s="42">
        <f ca="1">Inputs!$B$2/B152</f>
        <v>173.09090909090909</v>
      </c>
      <c r="D152" s="43">
        <f ca="1">WORKDAY(Inputs!$B$3, ROUND(C152, 0),Sheet2!$A$2:$A$21)</f>
        <v>46269</v>
      </c>
    </row>
    <row r="153" spans="1:4" x14ac:dyDescent="0.25">
      <c r="A153" s="42">
        <f t="shared" si="4"/>
        <v>152</v>
      </c>
      <c r="B153" s="42" cm="1">
        <f t="array" aca="1" ref="B153" ca="1">INDEX(Historical!$A$1:$A$18, RANDBETWEEN(1, COUNTA(Historical!$A$1:$A$18)))</f>
        <v>1.368421052631579</v>
      </c>
      <c r="C153" s="42">
        <f ca="1">Inputs!$B$2/B153</f>
        <v>163.69230769230768</v>
      </c>
      <c r="D153" s="43">
        <f ca="1">WORKDAY(Inputs!$B$3, ROUND(C153, 0),Sheet2!$A$2:$A$21)</f>
        <v>46258</v>
      </c>
    </row>
    <row r="154" spans="1:4" x14ac:dyDescent="0.25">
      <c r="A154" s="42">
        <f t="shared" si="4"/>
        <v>153</v>
      </c>
      <c r="B154" s="42" cm="1">
        <f t="array" aca="1" ref="B154" ca="1">INDEX(Historical!$A$1:$A$18, RANDBETWEEN(1, COUNTA(Historical!$A$1:$A$18)))</f>
        <v>1.290909090909091</v>
      </c>
      <c r="C154" s="42">
        <f ca="1">Inputs!$B$2/B154</f>
        <v>173.52112676056336</v>
      </c>
      <c r="D154" s="43">
        <f ca="1">WORKDAY(Inputs!$B$3, ROUND(C154, 0),Sheet2!$A$2:$A$21)</f>
        <v>46273</v>
      </c>
    </row>
    <row r="155" spans="1:4" x14ac:dyDescent="0.25">
      <c r="A155" s="42">
        <f t="shared" si="4"/>
        <v>154</v>
      </c>
      <c r="B155" s="42" cm="1">
        <f t="array" aca="1" ref="B155" ca="1">INDEX(Historical!$A$1:$A$18, RANDBETWEEN(1, COUNTA(Historical!$A$1:$A$18)))</f>
        <v>1.3707865168539326</v>
      </c>
      <c r="C155" s="42">
        <f ca="1">Inputs!$B$2/B155</f>
        <v>163.40983606557376</v>
      </c>
      <c r="D155" s="43">
        <f ca="1">WORKDAY(Inputs!$B$3, ROUND(C155, 0),Sheet2!$A$2:$A$21)</f>
        <v>46255</v>
      </c>
    </row>
    <row r="156" spans="1:4" x14ac:dyDescent="0.25">
      <c r="A156" s="42">
        <f t="shared" si="4"/>
        <v>155</v>
      </c>
      <c r="B156" s="42" cm="1">
        <f t="array" aca="1" ref="B156" ca="1">INDEX(Historical!$A$1:$A$18, RANDBETWEEN(1, COUNTA(Historical!$A$1:$A$18)))</f>
        <v>1.3214285714285714</v>
      </c>
      <c r="C156" s="42">
        <f ca="1">Inputs!$B$2/B156</f>
        <v>169.51351351351352</v>
      </c>
      <c r="D156" s="43">
        <f ca="1">WORKDAY(Inputs!$B$3, ROUND(C156, 0),Sheet2!$A$2:$A$21)</f>
        <v>46266</v>
      </c>
    </row>
    <row r="157" spans="1:4" x14ac:dyDescent="0.25">
      <c r="A157" s="42">
        <f t="shared" si="4"/>
        <v>156</v>
      </c>
      <c r="B157" s="42" cm="1">
        <f t="array" aca="1" ref="B157" ca="1">INDEX(Historical!$A$1:$A$18, RANDBETWEEN(1, COUNTA(Historical!$A$1:$A$18)))</f>
        <v>1.4761904761904763</v>
      </c>
      <c r="C157" s="42">
        <f ca="1">Inputs!$B$2/B157</f>
        <v>151.74193548387095</v>
      </c>
      <c r="D157" s="43">
        <f ca="1">WORKDAY(Inputs!$B$3, ROUND(C157, 0),Sheet2!$A$2:$A$21)</f>
        <v>46240</v>
      </c>
    </row>
    <row r="158" spans="1:4" x14ac:dyDescent="0.25">
      <c r="A158" s="42">
        <f t="shared" si="4"/>
        <v>157</v>
      </c>
      <c r="B158" s="42" cm="1">
        <f t="array" aca="1" ref="B158" ca="1">INDEX(Historical!$A$1:$A$18, RANDBETWEEN(1, COUNTA(Historical!$A$1:$A$18)))</f>
        <v>1.3157894736842106</v>
      </c>
      <c r="C158" s="42">
        <f ca="1">Inputs!$B$2/B158</f>
        <v>170.23999999999998</v>
      </c>
      <c r="D158" s="43">
        <f ca="1">WORKDAY(Inputs!$B$3, ROUND(C158, 0),Sheet2!$A$2:$A$21)</f>
        <v>46266</v>
      </c>
    </row>
    <row r="159" spans="1:4" x14ac:dyDescent="0.25">
      <c r="A159" s="42">
        <f t="shared" si="4"/>
        <v>158</v>
      </c>
      <c r="B159" s="42" cm="1">
        <f t="array" aca="1" ref="B159" ca="1">INDEX(Historical!$A$1:$A$18, RANDBETWEEN(1, COUNTA(Historical!$A$1:$A$18)))</f>
        <v>1.3692307692307693</v>
      </c>
      <c r="C159" s="42">
        <f ca="1">Inputs!$B$2/B159</f>
        <v>163.59550561797752</v>
      </c>
      <c r="D159" s="43">
        <f ca="1">WORKDAY(Inputs!$B$3, ROUND(C159, 0),Sheet2!$A$2:$A$21)</f>
        <v>46258</v>
      </c>
    </row>
    <row r="160" spans="1:4" x14ac:dyDescent="0.25">
      <c r="A160" s="42">
        <f t="shared" si="4"/>
        <v>159</v>
      </c>
      <c r="B160" s="42" cm="1">
        <f t="array" aca="1" ref="B160" ca="1">INDEX(Historical!$A$1:$A$18, RANDBETWEEN(1, COUNTA(Historical!$A$1:$A$18)))</f>
        <v>1.303030303030303</v>
      </c>
      <c r="C160" s="42">
        <f ca="1">Inputs!$B$2/B160</f>
        <v>171.90697674418604</v>
      </c>
      <c r="D160" s="43">
        <f ca="1">WORKDAY(Inputs!$B$3, ROUND(C160, 0),Sheet2!$A$2:$A$21)</f>
        <v>46268</v>
      </c>
    </row>
    <row r="161" spans="1:4" x14ac:dyDescent="0.25">
      <c r="A161" s="42">
        <f t="shared" si="4"/>
        <v>160</v>
      </c>
      <c r="B161" s="42" cm="1">
        <f t="array" aca="1" ref="B161" ca="1">INDEX(Historical!$A$1:$A$18, RANDBETWEEN(1, COUNTA(Historical!$A$1:$A$18)))</f>
        <v>1.3214285714285714</v>
      </c>
      <c r="C161" s="42">
        <f ca="1">Inputs!$B$2/B161</f>
        <v>169.51351351351352</v>
      </c>
      <c r="D161" s="43">
        <f ca="1">WORKDAY(Inputs!$B$3, ROUND(C161, 0),Sheet2!$A$2:$A$21)</f>
        <v>46266</v>
      </c>
    </row>
    <row r="162" spans="1:4" x14ac:dyDescent="0.25">
      <c r="A162" s="42">
        <f t="shared" si="4"/>
        <v>161</v>
      </c>
      <c r="B162" s="42" cm="1">
        <f t="array" aca="1" ref="B162" ca="1">INDEX(Historical!$A$1:$A$18, RANDBETWEEN(1, COUNTA(Historical!$A$1:$A$18)))</f>
        <v>1.3611111111111112</v>
      </c>
      <c r="C162" s="42">
        <f ca="1">Inputs!$B$2/B162</f>
        <v>164.57142857142856</v>
      </c>
      <c r="D162" s="43">
        <f ca="1">WORKDAY(Inputs!$B$3, ROUND(C162, 0),Sheet2!$A$2:$A$21)</f>
        <v>46259</v>
      </c>
    </row>
    <row r="163" spans="1:4" x14ac:dyDescent="0.25">
      <c r="A163" s="42">
        <f t="shared" si="4"/>
        <v>162</v>
      </c>
      <c r="B163" s="42" cm="1">
        <f t="array" aca="1" ref="B163" ca="1">INDEX(Historical!$A$1:$A$18, RANDBETWEEN(1, COUNTA(Historical!$A$1:$A$18)))</f>
        <v>1.5</v>
      </c>
      <c r="C163" s="42">
        <f ca="1">Inputs!$B$2/B163</f>
        <v>149.33333333333334</v>
      </c>
      <c r="D163" s="43">
        <f ca="1">WORKDAY(Inputs!$B$3, ROUND(C163, 0),Sheet2!$A$2:$A$21)</f>
        <v>46237</v>
      </c>
    </row>
    <row r="164" spans="1:4" x14ac:dyDescent="0.25">
      <c r="A164" s="42">
        <f t="shared" si="4"/>
        <v>163</v>
      </c>
      <c r="B164" s="42" cm="1">
        <f t="array" aca="1" ref="B164" ca="1">INDEX(Historical!$A$1:$A$18, RANDBETWEEN(1, COUNTA(Historical!$A$1:$A$18)))</f>
        <v>1.1666666666666667</v>
      </c>
      <c r="C164" s="42">
        <f ca="1">Inputs!$B$2/B164</f>
        <v>192</v>
      </c>
      <c r="D164" s="43">
        <f ca="1">WORKDAY(Inputs!$B$3, ROUND(C164, 0),Sheet2!$A$2:$A$21)</f>
        <v>46297</v>
      </c>
    </row>
    <row r="165" spans="1:4" x14ac:dyDescent="0.25">
      <c r="A165" s="42">
        <f t="shared" si="4"/>
        <v>164</v>
      </c>
      <c r="B165" s="42" cm="1">
        <f t="array" aca="1" ref="B165" ca="1">INDEX(Historical!$A$1:$A$18, RANDBETWEEN(1, COUNTA(Historical!$A$1:$A$18)))</f>
        <v>1.4347826086956521</v>
      </c>
      <c r="C165" s="42">
        <f ca="1">Inputs!$B$2/B165</f>
        <v>156.12121212121212</v>
      </c>
      <c r="D165" s="43">
        <f ca="1">WORKDAY(Inputs!$B$3, ROUND(C165, 0),Sheet2!$A$2:$A$21)</f>
        <v>46246</v>
      </c>
    </row>
    <row r="166" spans="1:4" x14ac:dyDescent="0.25">
      <c r="A166" s="42">
        <f t="shared" si="4"/>
        <v>165</v>
      </c>
      <c r="B166" s="42" cm="1">
        <f t="array" aca="1" ref="B166" ca="1">INDEX(Historical!$A$1:$A$18, RANDBETWEEN(1, COUNTA(Historical!$A$1:$A$18)))</f>
        <v>1.3559322033898304</v>
      </c>
      <c r="C166" s="42">
        <f ca="1">Inputs!$B$2/B166</f>
        <v>165.20000000000002</v>
      </c>
      <c r="D166" s="43">
        <f ca="1">WORKDAY(Inputs!$B$3, ROUND(C166, 0),Sheet2!$A$2:$A$21)</f>
        <v>46259</v>
      </c>
    </row>
    <row r="167" spans="1:4" x14ac:dyDescent="0.25">
      <c r="A167" s="42">
        <f t="shared" si="4"/>
        <v>166</v>
      </c>
      <c r="B167" s="42" cm="1">
        <f t="array" aca="1" ref="B167" ca="1">INDEX(Historical!$A$1:$A$18, RANDBETWEEN(1, COUNTA(Historical!$A$1:$A$18)))</f>
        <v>1.2941176470588236</v>
      </c>
      <c r="C167" s="42">
        <f ca="1">Inputs!$B$2/B167</f>
        <v>173.09090909090909</v>
      </c>
      <c r="D167" s="43">
        <f ca="1">WORKDAY(Inputs!$B$3, ROUND(C167, 0),Sheet2!$A$2:$A$21)</f>
        <v>46269</v>
      </c>
    </row>
    <row r="168" spans="1:4" x14ac:dyDescent="0.25">
      <c r="A168" s="42">
        <f t="shared" si="4"/>
        <v>167</v>
      </c>
      <c r="B168" s="42" cm="1">
        <f t="array" aca="1" ref="B168" ca="1">INDEX(Historical!$A$1:$A$18, RANDBETWEEN(1, COUNTA(Historical!$A$1:$A$18)))</f>
        <v>1.3611111111111112</v>
      </c>
      <c r="C168" s="42">
        <f ca="1">Inputs!$B$2/B168</f>
        <v>164.57142857142856</v>
      </c>
      <c r="D168" s="43">
        <f ca="1">WORKDAY(Inputs!$B$3, ROUND(C168, 0),Sheet2!$A$2:$A$21)</f>
        <v>46259</v>
      </c>
    </row>
    <row r="169" spans="1:4" x14ac:dyDescent="0.25">
      <c r="A169" s="42">
        <f t="shared" si="4"/>
        <v>168</v>
      </c>
      <c r="B169" s="42" cm="1">
        <f t="array" aca="1" ref="B169" ca="1">INDEX(Historical!$A$1:$A$18, RANDBETWEEN(1, COUNTA(Historical!$A$1:$A$18)))</f>
        <v>1.4347826086956521</v>
      </c>
      <c r="C169" s="42">
        <f ca="1">Inputs!$B$2/B169</f>
        <v>156.12121212121212</v>
      </c>
      <c r="D169" s="43">
        <f ca="1">WORKDAY(Inputs!$B$3, ROUND(C169, 0),Sheet2!$A$2:$A$21)</f>
        <v>46246</v>
      </c>
    </row>
    <row r="170" spans="1:4" x14ac:dyDescent="0.25">
      <c r="A170" s="42">
        <f t="shared" si="4"/>
        <v>169</v>
      </c>
      <c r="B170" s="42" cm="1">
        <f t="array" aca="1" ref="B170" ca="1">INDEX(Historical!$A$1:$A$18, RANDBETWEEN(1, COUNTA(Historical!$A$1:$A$18)))</f>
        <v>1.290909090909091</v>
      </c>
      <c r="C170" s="42">
        <f ca="1">Inputs!$B$2/B170</f>
        <v>173.52112676056336</v>
      </c>
      <c r="D170" s="43">
        <f ca="1">WORKDAY(Inputs!$B$3, ROUND(C170, 0),Sheet2!$A$2:$A$21)</f>
        <v>46273</v>
      </c>
    </row>
    <row r="171" spans="1:4" x14ac:dyDescent="0.25">
      <c r="A171" s="42">
        <f t="shared" si="4"/>
        <v>170</v>
      </c>
      <c r="B171" s="42" cm="1">
        <f t="array" aca="1" ref="B171" ca="1">INDEX(Historical!$A$1:$A$18, RANDBETWEEN(1, COUNTA(Historical!$A$1:$A$18)))</f>
        <v>1.1666666666666667</v>
      </c>
      <c r="C171" s="42">
        <f ca="1">Inputs!$B$2/B171</f>
        <v>192</v>
      </c>
      <c r="D171" s="43">
        <f ca="1">WORKDAY(Inputs!$B$3, ROUND(C171, 0),Sheet2!$A$2:$A$21)</f>
        <v>46297</v>
      </c>
    </row>
    <row r="172" spans="1:4" x14ac:dyDescent="0.25">
      <c r="A172" s="42">
        <f t="shared" si="4"/>
        <v>171</v>
      </c>
      <c r="B172" s="42" cm="1">
        <f t="array" aca="1" ref="B172" ca="1">INDEX(Historical!$A$1:$A$18, RANDBETWEEN(1, COUNTA(Historical!$A$1:$A$18)))</f>
        <v>1.5</v>
      </c>
      <c r="C172" s="42">
        <f ca="1">Inputs!$B$2/B172</f>
        <v>149.33333333333334</v>
      </c>
      <c r="D172" s="43">
        <f ca="1">WORKDAY(Inputs!$B$3, ROUND(C172, 0),Sheet2!$A$2:$A$21)</f>
        <v>46237</v>
      </c>
    </row>
    <row r="173" spans="1:4" x14ac:dyDescent="0.25">
      <c r="A173" s="42">
        <f t="shared" si="4"/>
        <v>172</v>
      </c>
      <c r="B173" s="42" cm="1">
        <f t="array" aca="1" ref="B173" ca="1">INDEX(Historical!$A$1:$A$18, RANDBETWEEN(1, COUNTA(Historical!$A$1:$A$18)))</f>
        <v>1.303030303030303</v>
      </c>
      <c r="C173" s="42">
        <f ca="1">Inputs!$B$2/B173</f>
        <v>171.90697674418604</v>
      </c>
      <c r="D173" s="43">
        <f ca="1">WORKDAY(Inputs!$B$3, ROUND(C173, 0),Sheet2!$A$2:$A$21)</f>
        <v>46268</v>
      </c>
    </row>
    <row r="174" spans="1:4" x14ac:dyDescent="0.25">
      <c r="A174" s="42">
        <f t="shared" si="4"/>
        <v>173</v>
      </c>
      <c r="B174" s="42" cm="1">
        <f t="array" aca="1" ref="B174" ca="1">INDEX(Historical!$A$1:$A$18, RANDBETWEEN(1, COUNTA(Historical!$A$1:$A$18)))</f>
        <v>1.303030303030303</v>
      </c>
      <c r="C174" s="42">
        <f ca="1">Inputs!$B$2/B174</f>
        <v>171.90697674418604</v>
      </c>
      <c r="D174" s="43">
        <f ca="1">WORKDAY(Inputs!$B$3, ROUND(C174, 0),Sheet2!$A$2:$A$21)</f>
        <v>46268</v>
      </c>
    </row>
    <row r="175" spans="1:4" x14ac:dyDescent="0.25">
      <c r="A175" s="42">
        <f t="shared" si="4"/>
        <v>174</v>
      </c>
      <c r="B175" s="42" cm="1">
        <f t="array" aca="1" ref="B175" ca="1">INDEX(Historical!$A$1:$A$18, RANDBETWEEN(1, COUNTA(Historical!$A$1:$A$18)))</f>
        <v>1.3157894736842106</v>
      </c>
      <c r="C175" s="42">
        <f ca="1">Inputs!$B$2/B175</f>
        <v>170.23999999999998</v>
      </c>
      <c r="D175" s="43">
        <f ca="1">WORKDAY(Inputs!$B$3, ROUND(C175, 0),Sheet2!$A$2:$A$21)</f>
        <v>46266</v>
      </c>
    </row>
    <row r="176" spans="1:4" x14ac:dyDescent="0.25">
      <c r="A176" s="42">
        <f t="shared" si="4"/>
        <v>175</v>
      </c>
      <c r="B176" s="42" cm="1">
        <f t="array" aca="1" ref="B176" ca="1">INDEX(Historical!$A$1:$A$18, RANDBETWEEN(1, COUNTA(Historical!$A$1:$A$18)))</f>
        <v>1.4761904761904763</v>
      </c>
      <c r="C176" s="42">
        <f ca="1">Inputs!$B$2/B176</f>
        <v>151.74193548387095</v>
      </c>
      <c r="D176" s="43">
        <f ca="1">WORKDAY(Inputs!$B$3, ROUND(C176, 0),Sheet2!$A$2:$A$21)</f>
        <v>46240</v>
      </c>
    </row>
    <row r="177" spans="1:4" x14ac:dyDescent="0.25">
      <c r="A177" s="42">
        <f t="shared" si="4"/>
        <v>176</v>
      </c>
      <c r="B177" s="42" cm="1">
        <f t="array" aca="1" ref="B177" ca="1">INDEX(Historical!$A$1:$A$18, RANDBETWEEN(1, COUNTA(Historical!$A$1:$A$18)))</f>
        <v>1.3559322033898304</v>
      </c>
      <c r="C177" s="42">
        <f ca="1">Inputs!$B$2/B177</f>
        <v>165.20000000000002</v>
      </c>
      <c r="D177" s="43">
        <f ca="1">WORKDAY(Inputs!$B$3, ROUND(C177, 0),Sheet2!$A$2:$A$21)</f>
        <v>46259</v>
      </c>
    </row>
    <row r="178" spans="1:4" x14ac:dyDescent="0.25">
      <c r="A178" s="42">
        <f t="shared" si="4"/>
        <v>177</v>
      </c>
      <c r="B178" s="42" cm="1">
        <f t="array" aca="1" ref="B178" ca="1">INDEX(Historical!$A$1:$A$18, RANDBETWEEN(1, COUNTA(Historical!$A$1:$A$18)))</f>
        <v>1.290909090909091</v>
      </c>
      <c r="C178" s="42">
        <f ca="1">Inputs!$B$2/B178</f>
        <v>173.52112676056336</v>
      </c>
      <c r="D178" s="43">
        <f ca="1">WORKDAY(Inputs!$B$3, ROUND(C178, 0),Sheet2!$A$2:$A$21)</f>
        <v>46273</v>
      </c>
    </row>
    <row r="179" spans="1:4" x14ac:dyDescent="0.25">
      <c r="A179" s="42">
        <f t="shared" si="4"/>
        <v>178</v>
      </c>
      <c r="B179" s="42" cm="1">
        <f t="array" aca="1" ref="B179" ca="1">INDEX(Historical!$A$1:$A$18, RANDBETWEEN(1, COUNTA(Historical!$A$1:$A$18)))</f>
        <v>1.4761904761904763</v>
      </c>
      <c r="C179" s="42">
        <f ca="1">Inputs!$B$2/B179</f>
        <v>151.74193548387095</v>
      </c>
      <c r="D179" s="43">
        <f ca="1">WORKDAY(Inputs!$B$3, ROUND(C179, 0),Sheet2!$A$2:$A$21)</f>
        <v>46240</v>
      </c>
    </row>
    <row r="180" spans="1:4" x14ac:dyDescent="0.25">
      <c r="A180" s="42">
        <f t="shared" si="4"/>
        <v>179</v>
      </c>
      <c r="B180" s="42" cm="1">
        <f t="array" aca="1" ref="B180" ca="1">INDEX(Historical!$A$1:$A$18, RANDBETWEEN(1, COUNTA(Historical!$A$1:$A$18)))</f>
        <v>1.290909090909091</v>
      </c>
      <c r="C180" s="42">
        <f ca="1">Inputs!$B$2/B180</f>
        <v>173.52112676056336</v>
      </c>
      <c r="D180" s="43">
        <f ca="1">WORKDAY(Inputs!$B$3, ROUND(C180, 0),Sheet2!$A$2:$A$21)</f>
        <v>46273</v>
      </c>
    </row>
    <row r="181" spans="1:4" x14ac:dyDescent="0.25">
      <c r="A181" s="42">
        <f t="shared" si="4"/>
        <v>180</v>
      </c>
      <c r="B181" s="42" cm="1">
        <f t="array" aca="1" ref="B181" ca="1">INDEX(Historical!$A$1:$A$18, RANDBETWEEN(1, COUNTA(Historical!$A$1:$A$18)))</f>
        <v>1.368421052631579</v>
      </c>
      <c r="C181" s="42">
        <f ca="1">Inputs!$B$2/B181</f>
        <v>163.69230769230768</v>
      </c>
      <c r="D181" s="43">
        <f ca="1">WORKDAY(Inputs!$B$3, ROUND(C181, 0),Sheet2!$A$2:$A$21)</f>
        <v>46258</v>
      </c>
    </row>
    <row r="182" spans="1:4" x14ac:dyDescent="0.25">
      <c r="A182" s="42">
        <f t="shared" si="4"/>
        <v>181</v>
      </c>
      <c r="B182" s="42" cm="1">
        <f t="array" aca="1" ref="B182" ca="1">INDEX(Historical!$A$1:$A$18, RANDBETWEEN(1, COUNTA(Historical!$A$1:$A$18)))</f>
        <v>1.1666666666666667</v>
      </c>
      <c r="C182" s="42">
        <f ca="1">Inputs!$B$2/B182</f>
        <v>192</v>
      </c>
      <c r="D182" s="43">
        <f ca="1">WORKDAY(Inputs!$B$3, ROUND(C182, 0),Sheet2!$A$2:$A$21)</f>
        <v>46297</v>
      </c>
    </row>
    <row r="183" spans="1:4" x14ac:dyDescent="0.25">
      <c r="A183" s="42">
        <f t="shared" si="4"/>
        <v>182</v>
      </c>
      <c r="B183" s="42" cm="1">
        <f t="array" aca="1" ref="B183" ca="1">INDEX(Historical!$A$1:$A$18, RANDBETWEEN(1, COUNTA(Historical!$A$1:$A$18)))</f>
        <v>1.3692307692307693</v>
      </c>
      <c r="C183" s="42">
        <f ca="1">Inputs!$B$2/B183</f>
        <v>163.59550561797752</v>
      </c>
      <c r="D183" s="43">
        <f ca="1">WORKDAY(Inputs!$B$3, ROUND(C183, 0),Sheet2!$A$2:$A$21)</f>
        <v>46258</v>
      </c>
    </row>
    <row r="184" spans="1:4" x14ac:dyDescent="0.25">
      <c r="A184" s="42">
        <f t="shared" si="4"/>
        <v>183</v>
      </c>
      <c r="B184" s="42" cm="1">
        <f t="array" aca="1" ref="B184" ca="1">INDEX(Historical!$A$1:$A$18, RANDBETWEEN(1, COUNTA(Historical!$A$1:$A$18)))</f>
        <v>1.3559322033898304</v>
      </c>
      <c r="C184" s="42">
        <f ca="1">Inputs!$B$2/B184</f>
        <v>165.20000000000002</v>
      </c>
      <c r="D184" s="43">
        <f ca="1">WORKDAY(Inputs!$B$3, ROUND(C184, 0),Sheet2!$A$2:$A$21)</f>
        <v>46259</v>
      </c>
    </row>
    <row r="185" spans="1:4" x14ac:dyDescent="0.25">
      <c r="A185" s="42">
        <f t="shared" si="4"/>
        <v>184</v>
      </c>
      <c r="B185" s="42" cm="1">
        <f t="array" aca="1" ref="B185" ca="1">INDEX(Historical!$A$1:$A$18, RANDBETWEEN(1, COUNTA(Historical!$A$1:$A$18)))</f>
        <v>1.4347826086956521</v>
      </c>
      <c r="C185" s="42">
        <f ca="1">Inputs!$B$2/B185</f>
        <v>156.12121212121212</v>
      </c>
      <c r="D185" s="43">
        <f ca="1">WORKDAY(Inputs!$B$3, ROUND(C185, 0),Sheet2!$A$2:$A$21)</f>
        <v>46246</v>
      </c>
    </row>
    <row r="186" spans="1:4" x14ac:dyDescent="0.25">
      <c r="A186" s="42">
        <f t="shared" si="4"/>
        <v>185</v>
      </c>
      <c r="B186" s="42" cm="1">
        <f t="array" aca="1" ref="B186" ca="1">INDEX(Historical!$A$1:$A$18, RANDBETWEEN(1, COUNTA(Historical!$A$1:$A$18)))</f>
        <v>1.5</v>
      </c>
      <c r="C186" s="42">
        <f ca="1">Inputs!$B$2/B186</f>
        <v>149.33333333333334</v>
      </c>
      <c r="D186" s="43">
        <f ca="1">WORKDAY(Inputs!$B$3, ROUND(C186, 0),Sheet2!$A$2:$A$21)</f>
        <v>46237</v>
      </c>
    </row>
    <row r="187" spans="1:4" x14ac:dyDescent="0.25">
      <c r="A187" s="42">
        <f t="shared" si="4"/>
        <v>186</v>
      </c>
      <c r="B187" s="42" cm="1">
        <f t="array" aca="1" ref="B187" ca="1">INDEX(Historical!$A$1:$A$18, RANDBETWEEN(1, COUNTA(Historical!$A$1:$A$18)))</f>
        <v>1.3617021276595744</v>
      </c>
      <c r="C187" s="42">
        <f ca="1">Inputs!$B$2/B187</f>
        <v>164.5</v>
      </c>
      <c r="D187" s="43">
        <f ca="1">WORKDAY(Inputs!$B$3, ROUND(C187, 0),Sheet2!$A$2:$A$21)</f>
        <v>46259</v>
      </c>
    </row>
    <row r="188" spans="1:4" x14ac:dyDescent="0.25">
      <c r="A188" s="42">
        <f t="shared" si="4"/>
        <v>187</v>
      </c>
      <c r="B188" s="42" cm="1">
        <f t="array" aca="1" ref="B188" ca="1">INDEX(Historical!$A$1:$A$18, RANDBETWEEN(1, COUNTA(Historical!$A$1:$A$18)))</f>
        <v>1.3157894736842106</v>
      </c>
      <c r="C188" s="42">
        <f ca="1">Inputs!$B$2/B188</f>
        <v>170.23999999999998</v>
      </c>
      <c r="D188" s="43">
        <f ca="1">WORKDAY(Inputs!$B$3, ROUND(C188, 0),Sheet2!$A$2:$A$21)</f>
        <v>46266</v>
      </c>
    </row>
    <row r="189" spans="1:4" x14ac:dyDescent="0.25">
      <c r="A189" s="42">
        <f t="shared" si="4"/>
        <v>188</v>
      </c>
      <c r="B189" s="42" cm="1">
        <f t="array" aca="1" ref="B189" ca="1">INDEX(Historical!$A$1:$A$18, RANDBETWEEN(1, COUNTA(Historical!$A$1:$A$18)))</f>
        <v>1.303030303030303</v>
      </c>
      <c r="C189" s="42">
        <f ca="1">Inputs!$B$2/B189</f>
        <v>171.90697674418604</v>
      </c>
      <c r="D189" s="43">
        <f ca="1">WORKDAY(Inputs!$B$3, ROUND(C189, 0),Sheet2!$A$2:$A$21)</f>
        <v>46268</v>
      </c>
    </row>
    <row r="190" spans="1:4" x14ac:dyDescent="0.25">
      <c r="A190" s="42">
        <f t="shared" si="4"/>
        <v>189</v>
      </c>
      <c r="B190" s="42" cm="1">
        <f t="array" aca="1" ref="B190" ca="1">INDEX(Historical!$A$1:$A$18, RANDBETWEEN(1, COUNTA(Historical!$A$1:$A$18)))</f>
        <v>1.303030303030303</v>
      </c>
      <c r="C190" s="42">
        <f ca="1">Inputs!$B$2/B190</f>
        <v>171.90697674418604</v>
      </c>
      <c r="D190" s="43">
        <f ca="1">WORKDAY(Inputs!$B$3, ROUND(C190, 0),Sheet2!$A$2:$A$21)</f>
        <v>46268</v>
      </c>
    </row>
    <row r="191" spans="1:4" x14ac:dyDescent="0.25">
      <c r="A191" s="42">
        <f t="shared" si="4"/>
        <v>190</v>
      </c>
      <c r="B191" s="42" cm="1">
        <f t="array" aca="1" ref="B191" ca="1">INDEX(Historical!$A$1:$A$18, RANDBETWEEN(1, COUNTA(Historical!$A$1:$A$18)))</f>
        <v>1.3707865168539326</v>
      </c>
      <c r="C191" s="42">
        <f ca="1">Inputs!$B$2/B191</f>
        <v>163.40983606557376</v>
      </c>
      <c r="D191" s="43">
        <f ca="1">WORKDAY(Inputs!$B$3, ROUND(C191, 0),Sheet2!$A$2:$A$21)</f>
        <v>46255</v>
      </c>
    </row>
    <row r="192" spans="1:4" x14ac:dyDescent="0.25">
      <c r="A192" s="42">
        <f t="shared" si="4"/>
        <v>191</v>
      </c>
      <c r="B192" s="42" cm="1">
        <f t="array" aca="1" ref="B192" ca="1">INDEX(Historical!$A$1:$A$18, RANDBETWEEN(1, COUNTA(Historical!$A$1:$A$18)))</f>
        <v>1.4761904761904763</v>
      </c>
      <c r="C192" s="42">
        <f ca="1">Inputs!$B$2/B192</f>
        <v>151.74193548387095</v>
      </c>
      <c r="D192" s="43">
        <f ca="1">WORKDAY(Inputs!$B$3, ROUND(C192, 0),Sheet2!$A$2:$A$21)</f>
        <v>46240</v>
      </c>
    </row>
    <row r="193" spans="1:4" x14ac:dyDescent="0.25">
      <c r="A193" s="42">
        <f t="shared" si="4"/>
        <v>192</v>
      </c>
      <c r="B193" s="42" cm="1">
        <f t="array" aca="1" ref="B193" ca="1">INDEX(Historical!$A$1:$A$18, RANDBETWEEN(1, COUNTA(Historical!$A$1:$A$18)))</f>
        <v>1.303030303030303</v>
      </c>
      <c r="C193" s="42">
        <f ca="1">Inputs!$B$2/B193</f>
        <v>171.90697674418604</v>
      </c>
      <c r="D193" s="43">
        <f ca="1">WORKDAY(Inputs!$B$3, ROUND(C193, 0),Sheet2!$A$2:$A$21)</f>
        <v>46268</v>
      </c>
    </row>
    <row r="194" spans="1:4" x14ac:dyDescent="0.25">
      <c r="A194" s="42">
        <f t="shared" si="4"/>
        <v>193</v>
      </c>
      <c r="B194" s="42" cm="1">
        <f t="array" aca="1" ref="B194" ca="1">INDEX(Historical!$A$1:$A$18, RANDBETWEEN(1, COUNTA(Historical!$A$1:$A$18)))</f>
        <v>1.4761904761904763</v>
      </c>
      <c r="C194" s="42">
        <f ca="1">Inputs!$B$2/B194</f>
        <v>151.74193548387095</v>
      </c>
      <c r="D194" s="43">
        <f ca="1">WORKDAY(Inputs!$B$3, ROUND(C194, 0),Sheet2!$A$2:$A$21)</f>
        <v>46240</v>
      </c>
    </row>
    <row r="195" spans="1:4" x14ac:dyDescent="0.25">
      <c r="A195" s="42">
        <f t="shared" ref="A195:A258" si="5">ROW()-1</f>
        <v>194</v>
      </c>
      <c r="B195" s="42" cm="1">
        <f t="array" aca="1" ref="B195" ca="1">INDEX(Historical!$A$1:$A$18, RANDBETWEEN(1, COUNTA(Historical!$A$1:$A$18)))</f>
        <v>1.3559322033898304</v>
      </c>
      <c r="C195" s="42">
        <f ca="1">Inputs!$B$2/B195</f>
        <v>165.20000000000002</v>
      </c>
      <c r="D195" s="43">
        <f ca="1">WORKDAY(Inputs!$B$3, ROUND(C195, 0),Sheet2!$A$2:$A$21)</f>
        <v>46259</v>
      </c>
    </row>
    <row r="196" spans="1:4" x14ac:dyDescent="0.25">
      <c r="A196" s="42">
        <f t="shared" si="5"/>
        <v>195</v>
      </c>
      <c r="B196" s="42" cm="1">
        <f t="array" aca="1" ref="B196" ca="1">INDEX(Historical!$A$1:$A$18, RANDBETWEEN(1, COUNTA(Historical!$A$1:$A$18)))</f>
        <v>1.1666666666666667</v>
      </c>
      <c r="C196" s="42">
        <f ca="1">Inputs!$B$2/B196</f>
        <v>192</v>
      </c>
      <c r="D196" s="43">
        <f ca="1">WORKDAY(Inputs!$B$3, ROUND(C196, 0),Sheet2!$A$2:$A$21)</f>
        <v>46297</v>
      </c>
    </row>
    <row r="197" spans="1:4" x14ac:dyDescent="0.25">
      <c r="A197" s="42">
        <f t="shared" si="5"/>
        <v>196</v>
      </c>
      <c r="B197" s="42" cm="1">
        <f t="array" aca="1" ref="B197" ca="1">INDEX(Historical!$A$1:$A$18, RANDBETWEEN(1, COUNTA(Historical!$A$1:$A$18)))</f>
        <v>1.368421052631579</v>
      </c>
      <c r="C197" s="42">
        <f ca="1">Inputs!$B$2/B197</f>
        <v>163.69230769230768</v>
      </c>
      <c r="D197" s="43">
        <f ca="1">WORKDAY(Inputs!$B$3, ROUND(C197, 0),Sheet2!$A$2:$A$21)</f>
        <v>46258</v>
      </c>
    </row>
    <row r="198" spans="1:4" x14ac:dyDescent="0.25">
      <c r="A198" s="42">
        <f t="shared" si="5"/>
        <v>197</v>
      </c>
      <c r="B198" s="42" cm="1">
        <f t="array" aca="1" ref="B198" ca="1">INDEX(Historical!$A$1:$A$18, RANDBETWEEN(1, COUNTA(Historical!$A$1:$A$18)))</f>
        <v>1.1666666666666667</v>
      </c>
      <c r="C198" s="42">
        <f ca="1">Inputs!$B$2/B198</f>
        <v>192</v>
      </c>
      <c r="D198" s="43">
        <f ca="1">WORKDAY(Inputs!$B$3, ROUND(C198, 0),Sheet2!$A$2:$A$21)</f>
        <v>46297</v>
      </c>
    </row>
    <row r="199" spans="1:4" x14ac:dyDescent="0.25">
      <c r="A199" s="42">
        <f t="shared" si="5"/>
        <v>198</v>
      </c>
      <c r="B199" s="42" cm="1">
        <f t="array" aca="1" ref="B199" ca="1">INDEX(Historical!$A$1:$A$18, RANDBETWEEN(1, COUNTA(Historical!$A$1:$A$18)))</f>
        <v>1.2941176470588236</v>
      </c>
      <c r="C199" s="42">
        <f ca="1">Inputs!$B$2/B199</f>
        <v>173.09090909090909</v>
      </c>
      <c r="D199" s="43">
        <f ca="1">WORKDAY(Inputs!$B$3, ROUND(C199, 0),Sheet2!$A$2:$A$21)</f>
        <v>46269</v>
      </c>
    </row>
    <row r="200" spans="1:4" x14ac:dyDescent="0.25">
      <c r="A200" s="42">
        <f t="shared" si="5"/>
        <v>199</v>
      </c>
      <c r="B200" s="42" cm="1">
        <f t="array" aca="1" ref="B200" ca="1">INDEX(Historical!$A$1:$A$18, RANDBETWEEN(1, COUNTA(Historical!$A$1:$A$18)))</f>
        <v>1.368421052631579</v>
      </c>
      <c r="C200" s="42">
        <f ca="1">Inputs!$B$2/B200</f>
        <v>163.69230769230768</v>
      </c>
      <c r="D200" s="43">
        <f ca="1">WORKDAY(Inputs!$B$3, ROUND(C200, 0),Sheet2!$A$2:$A$21)</f>
        <v>46258</v>
      </c>
    </row>
    <row r="201" spans="1:4" x14ac:dyDescent="0.25">
      <c r="A201" s="42">
        <f t="shared" si="5"/>
        <v>200</v>
      </c>
      <c r="B201" s="42" cm="1">
        <f t="array" aca="1" ref="B201" ca="1">INDEX(Historical!$A$1:$A$18, RANDBETWEEN(1, COUNTA(Historical!$A$1:$A$18)))</f>
        <v>1.1666666666666667</v>
      </c>
      <c r="C201" s="42">
        <f ca="1">Inputs!$B$2/B201</f>
        <v>192</v>
      </c>
      <c r="D201" s="43">
        <f ca="1">WORKDAY(Inputs!$B$3, ROUND(C201, 0),Sheet2!$A$2:$A$21)</f>
        <v>46297</v>
      </c>
    </row>
    <row r="202" spans="1:4" x14ac:dyDescent="0.25">
      <c r="A202" s="42">
        <f t="shared" si="5"/>
        <v>201</v>
      </c>
      <c r="B202" s="42" cm="1">
        <f t="array" aca="1" ref="B202" ca="1">INDEX(Historical!$A$1:$A$18, RANDBETWEEN(1, COUNTA(Historical!$A$1:$A$18)))</f>
        <v>1.4347826086956521</v>
      </c>
      <c r="C202" s="42">
        <f ca="1">Inputs!$B$2/B202</f>
        <v>156.12121212121212</v>
      </c>
      <c r="D202" s="43">
        <f ca="1">WORKDAY(Inputs!$B$3, ROUND(C202, 0),Sheet2!$A$2:$A$21)</f>
        <v>46246</v>
      </c>
    </row>
    <row r="203" spans="1:4" x14ac:dyDescent="0.25">
      <c r="A203" s="42">
        <f t="shared" si="5"/>
        <v>202</v>
      </c>
      <c r="B203" s="42" cm="1">
        <f t="array" aca="1" ref="B203" ca="1">INDEX(Historical!$A$1:$A$18, RANDBETWEEN(1, COUNTA(Historical!$A$1:$A$18)))</f>
        <v>1.303030303030303</v>
      </c>
      <c r="C203" s="42">
        <f ca="1">Inputs!$B$2/B203</f>
        <v>171.90697674418604</v>
      </c>
      <c r="D203" s="43">
        <f ca="1">WORKDAY(Inputs!$B$3, ROUND(C203, 0),Sheet2!$A$2:$A$21)</f>
        <v>46268</v>
      </c>
    </row>
    <row r="204" spans="1:4" x14ac:dyDescent="0.25">
      <c r="A204" s="42">
        <f t="shared" si="5"/>
        <v>203</v>
      </c>
      <c r="B204" s="42" cm="1">
        <f t="array" aca="1" ref="B204" ca="1">INDEX(Historical!$A$1:$A$18, RANDBETWEEN(1, COUNTA(Historical!$A$1:$A$18)))</f>
        <v>1.2941176470588236</v>
      </c>
      <c r="C204" s="42">
        <f ca="1">Inputs!$B$2/B204</f>
        <v>173.09090909090909</v>
      </c>
      <c r="D204" s="43">
        <f ca="1">WORKDAY(Inputs!$B$3, ROUND(C204, 0),Sheet2!$A$2:$A$21)</f>
        <v>46269</v>
      </c>
    </row>
    <row r="205" spans="1:4" x14ac:dyDescent="0.25">
      <c r="A205" s="42">
        <f t="shared" si="5"/>
        <v>204</v>
      </c>
      <c r="B205" s="42" cm="1">
        <f t="array" aca="1" ref="B205" ca="1">INDEX(Historical!$A$1:$A$18, RANDBETWEEN(1, COUNTA(Historical!$A$1:$A$18)))</f>
        <v>1.3611111111111112</v>
      </c>
      <c r="C205" s="42">
        <f ca="1">Inputs!$B$2/B205</f>
        <v>164.57142857142856</v>
      </c>
      <c r="D205" s="43">
        <f ca="1">WORKDAY(Inputs!$B$3, ROUND(C205, 0),Sheet2!$A$2:$A$21)</f>
        <v>46259</v>
      </c>
    </row>
    <row r="206" spans="1:4" x14ac:dyDescent="0.25">
      <c r="A206" s="42">
        <f t="shared" si="5"/>
        <v>205</v>
      </c>
      <c r="B206" s="42" cm="1">
        <f t="array" aca="1" ref="B206" ca="1">INDEX(Historical!$A$1:$A$18, RANDBETWEEN(1, COUNTA(Historical!$A$1:$A$18)))</f>
        <v>1.2941176470588236</v>
      </c>
      <c r="C206" s="42">
        <f ca="1">Inputs!$B$2/B206</f>
        <v>173.09090909090909</v>
      </c>
      <c r="D206" s="43">
        <f ca="1">WORKDAY(Inputs!$B$3, ROUND(C206, 0),Sheet2!$A$2:$A$21)</f>
        <v>46269</v>
      </c>
    </row>
    <row r="207" spans="1:4" x14ac:dyDescent="0.25">
      <c r="A207" s="42">
        <f t="shared" si="5"/>
        <v>206</v>
      </c>
      <c r="B207" s="42" cm="1">
        <f t="array" aca="1" ref="B207" ca="1">INDEX(Historical!$A$1:$A$18, RANDBETWEEN(1, COUNTA(Historical!$A$1:$A$18)))</f>
        <v>1.3157894736842106</v>
      </c>
      <c r="C207" s="42">
        <f ca="1">Inputs!$B$2/B207</f>
        <v>170.23999999999998</v>
      </c>
      <c r="D207" s="43">
        <f ca="1">WORKDAY(Inputs!$B$3, ROUND(C207, 0),Sheet2!$A$2:$A$21)</f>
        <v>46266</v>
      </c>
    </row>
    <row r="208" spans="1:4" x14ac:dyDescent="0.25">
      <c r="A208" s="42">
        <f t="shared" si="5"/>
        <v>207</v>
      </c>
      <c r="B208" s="42" cm="1">
        <f t="array" aca="1" ref="B208" ca="1">INDEX(Historical!$A$1:$A$18, RANDBETWEEN(1, COUNTA(Historical!$A$1:$A$18)))</f>
        <v>1.290909090909091</v>
      </c>
      <c r="C208" s="42">
        <f ca="1">Inputs!$B$2/B208</f>
        <v>173.52112676056336</v>
      </c>
      <c r="D208" s="43">
        <f ca="1">WORKDAY(Inputs!$B$3, ROUND(C208, 0),Sheet2!$A$2:$A$21)</f>
        <v>46273</v>
      </c>
    </row>
    <row r="209" spans="1:4" x14ac:dyDescent="0.25">
      <c r="A209" s="42">
        <f t="shared" si="5"/>
        <v>208</v>
      </c>
      <c r="B209" s="42" cm="1">
        <f t="array" aca="1" ref="B209" ca="1">INDEX(Historical!$A$1:$A$18, RANDBETWEEN(1, COUNTA(Historical!$A$1:$A$18)))</f>
        <v>1.3617021276595744</v>
      </c>
      <c r="C209" s="42">
        <f ca="1">Inputs!$B$2/B209</f>
        <v>164.5</v>
      </c>
      <c r="D209" s="43">
        <f ca="1">WORKDAY(Inputs!$B$3, ROUND(C209, 0),Sheet2!$A$2:$A$21)</f>
        <v>46259</v>
      </c>
    </row>
    <row r="210" spans="1:4" x14ac:dyDescent="0.25">
      <c r="A210" s="42">
        <f t="shared" si="5"/>
        <v>209</v>
      </c>
      <c r="B210" s="42" cm="1">
        <f t="array" aca="1" ref="B210" ca="1">INDEX(Historical!$A$1:$A$18, RANDBETWEEN(1, COUNTA(Historical!$A$1:$A$18)))</f>
        <v>1.3617021276595744</v>
      </c>
      <c r="C210" s="42">
        <f ca="1">Inputs!$B$2/B210</f>
        <v>164.5</v>
      </c>
      <c r="D210" s="43">
        <f ca="1">WORKDAY(Inputs!$B$3, ROUND(C210, 0),Sheet2!$A$2:$A$21)</f>
        <v>46259</v>
      </c>
    </row>
    <row r="211" spans="1:4" x14ac:dyDescent="0.25">
      <c r="A211" s="42">
        <f t="shared" si="5"/>
        <v>210</v>
      </c>
      <c r="B211" s="42" cm="1">
        <f t="array" aca="1" ref="B211" ca="1">INDEX(Historical!$A$1:$A$18, RANDBETWEEN(1, COUNTA(Historical!$A$1:$A$18)))</f>
        <v>1.3707865168539326</v>
      </c>
      <c r="C211" s="42">
        <f ca="1">Inputs!$B$2/B211</f>
        <v>163.40983606557376</v>
      </c>
      <c r="D211" s="43">
        <f ca="1">WORKDAY(Inputs!$B$3, ROUND(C211, 0),Sheet2!$A$2:$A$21)</f>
        <v>46255</v>
      </c>
    </row>
    <row r="212" spans="1:4" x14ac:dyDescent="0.25">
      <c r="A212" s="42">
        <f t="shared" si="5"/>
        <v>211</v>
      </c>
      <c r="B212" s="42" cm="1">
        <f t="array" aca="1" ref="B212" ca="1">INDEX(Historical!$A$1:$A$18, RANDBETWEEN(1, COUNTA(Historical!$A$1:$A$18)))</f>
        <v>1.375</v>
      </c>
      <c r="C212" s="42">
        <f ca="1">Inputs!$B$2/B212</f>
        <v>162.90909090909091</v>
      </c>
      <c r="D212" s="43">
        <f ca="1">WORKDAY(Inputs!$B$3, ROUND(C212, 0),Sheet2!$A$2:$A$21)</f>
        <v>46255</v>
      </c>
    </row>
    <row r="213" spans="1:4" x14ac:dyDescent="0.25">
      <c r="A213" s="42">
        <f t="shared" si="5"/>
        <v>212</v>
      </c>
      <c r="B213" s="42" cm="1">
        <f t="array" aca="1" ref="B213" ca="1">INDEX(Historical!$A$1:$A$18, RANDBETWEEN(1, COUNTA(Historical!$A$1:$A$18)))</f>
        <v>1.290909090909091</v>
      </c>
      <c r="C213" s="42">
        <f ca="1">Inputs!$B$2/B213</f>
        <v>173.52112676056336</v>
      </c>
      <c r="D213" s="43">
        <f ca="1">WORKDAY(Inputs!$B$3, ROUND(C213, 0),Sheet2!$A$2:$A$21)</f>
        <v>46273</v>
      </c>
    </row>
    <row r="214" spans="1:4" x14ac:dyDescent="0.25">
      <c r="A214" s="42">
        <f t="shared" si="5"/>
        <v>213</v>
      </c>
      <c r="B214" s="42" cm="1">
        <f t="array" aca="1" ref="B214" ca="1">INDEX(Historical!$A$1:$A$18, RANDBETWEEN(1, COUNTA(Historical!$A$1:$A$18)))</f>
        <v>1.2941176470588236</v>
      </c>
      <c r="C214" s="42">
        <f ca="1">Inputs!$B$2/B214</f>
        <v>173.09090909090909</v>
      </c>
      <c r="D214" s="43">
        <f ca="1">WORKDAY(Inputs!$B$3, ROUND(C214, 0),Sheet2!$A$2:$A$21)</f>
        <v>46269</v>
      </c>
    </row>
    <row r="215" spans="1:4" x14ac:dyDescent="0.25">
      <c r="A215" s="42">
        <f t="shared" si="5"/>
        <v>214</v>
      </c>
      <c r="B215" s="42" cm="1">
        <f t="array" aca="1" ref="B215" ca="1">INDEX(Historical!$A$1:$A$18, RANDBETWEEN(1, COUNTA(Historical!$A$1:$A$18)))</f>
        <v>1.4347826086956521</v>
      </c>
      <c r="C215" s="42">
        <f ca="1">Inputs!$B$2/B215</f>
        <v>156.12121212121212</v>
      </c>
      <c r="D215" s="43">
        <f ca="1">WORKDAY(Inputs!$B$3, ROUND(C215, 0),Sheet2!$A$2:$A$21)</f>
        <v>46246</v>
      </c>
    </row>
    <row r="216" spans="1:4" x14ac:dyDescent="0.25">
      <c r="A216" s="42">
        <f t="shared" si="5"/>
        <v>215</v>
      </c>
      <c r="B216" s="42" cm="1">
        <f t="array" aca="1" ref="B216" ca="1">INDEX(Historical!$A$1:$A$18, RANDBETWEEN(1, COUNTA(Historical!$A$1:$A$18)))</f>
        <v>1.3692307692307693</v>
      </c>
      <c r="C216" s="42">
        <f ca="1">Inputs!$B$2/B216</f>
        <v>163.59550561797752</v>
      </c>
      <c r="D216" s="43">
        <f ca="1">WORKDAY(Inputs!$B$3, ROUND(C216, 0),Sheet2!$A$2:$A$21)</f>
        <v>46258</v>
      </c>
    </row>
    <row r="217" spans="1:4" x14ac:dyDescent="0.25">
      <c r="A217" s="42">
        <f t="shared" si="5"/>
        <v>216</v>
      </c>
      <c r="B217" s="42" cm="1">
        <f t="array" aca="1" ref="B217" ca="1">INDEX(Historical!$A$1:$A$18, RANDBETWEEN(1, COUNTA(Historical!$A$1:$A$18)))</f>
        <v>1.3692307692307693</v>
      </c>
      <c r="C217" s="42">
        <f ca="1">Inputs!$B$2/B217</f>
        <v>163.59550561797752</v>
      </c>
      <c r="D217" s="43">
        <f ca="1">WORKDAY(Inputs!$B$3, ROUND(C217, 0),Sheet2!$A$2:$A$21)</f>
        <v>46258</v>
      </c>
    </row>
    <row r="218" spans="1:4" x14ac:dyDescent="0.25">
      <c r="A218" s="42">
        <f t="shared" si="5"/>
        <v>217</v>
      </c>
      <c r="B218" s="42" cm="1">
        <f t="array" aca="1" ref="B218" ca="1">INDEX(Historical!$A$1:$A$18, RANDBETWEEN(1, COUNTA(Historical!$A$1:$A$18)))</f>
        <v>1.3611111111111112</v>
      </c>
      <c r="C218" s="42">
        <f ca="1">Inputs!$B$2/B218</f>
        <v>164.57142857142856</v>
      </c>
      <c r="D218" s="43">
        <f ca="1">WORKDAY(Inputs!$B$3, ROUND(C218, 0),Sheet2!$A$2:$A$21)</f>
        <v>46259</v>
      </c>
    </row>
    <row r="219" spans="1:4" x14ac:dyDescent="0.25">
      <c r="A219" s="42">
        <f t="shared" si="5"/>
        <v>218</v>
      </c>
      <c r="B219" s="42" cm="1">
        <f t="array" aca="1" ref="B219" ca="1">INDEX(Historical!$A$1:$A$18, RANDBETWEEN(1, COUNTA(Historical!$A$1:$A$18)))</f>
        <v>1.4761904761904763</v>
      </c>
      <c r="C219" s="42">
        <f ca="1">Inputs!$B$2/B219</f>
        <v>151.74193548387095</v>
      </c>
      <c r="D219" s="43">
        <f ca="1">WORKDAY(Inputs!$B$3, ROUND(C219, 0),Sheet2!$A$2:$A$21)</f>
        <v>46240</v>
      </c>
    </row>
    <row r="220" spans="1:4" x14ac:dyDescent="0.25">
      <c r="A220" s="42">
        <f t="shared" si="5"/>
        <v>219</v>
      </c>
      <c r="B220" s="42" cm="1">
        <f t="array" aca="1" ref="B220" ca="1">INDEX(Historical!$A$1:$A$18, RANDBETWEEN(1, COUNTA(Historical!$A$1:$A$18)))</f>
        <v>1.3611111111111112</v>
      </c>
      <c r="C220" s="42">
        <f ca="1">Inputs!$B$2/B220</f>
        <v>164.57142857142856</v>
      </c>
      <c r="D220" s="43">
        <f ca="1">WORKDAY(Inputs!$B$3, ROUND(C220, 0),Sheet2!$A$2:$A$21)</f>
        <v>46259</v>
      </c>
    </row>
    <row r="221" spans="1:4" x14ac:dyDescent="0.25">
      <c r="A221" s="42">
        <f t="shared" si="5"/>
        <v>220</v>
      </c>
      <c r="B221" s="42" cm="1">
        <f t="array" aca="1" ref="B221" ca="1">INDEX(Historical!$A$1:$A$18, RANDBETWEEN(1, COUNTA(Historical!$A$1:$A$18)))</f>
        <v>1.368421052631579</v>
      </c>
      <c r="C221" s="42">
        <f ca="1">Inputs!$B$2/B221</f>
        <v>163.69230769230768</v>
      </c>
      <c r="D221" s="43">
        <f ca="1">WORKDAY(Inputs!$B$3, ROUND(C221, 0),Sheet2!$A$2:$A$21)</f>
        <v>46258</v>
      </c>
    </row>
    <row r="222" spans="1:4" x14ac:dyDescent="0.25">
      <c r="A222" s="42">
        <f t="shared" si="5"/>
        <v>221</v>
      </c>
      <c r="B222" s="42" cm="1">
        <f t="array" aca="1" ref="B222" ca="1">INDEX(Historical!$A$1:$A$18, RANDBETWEEN(1, COUNTA(Historical!$A$1:$A$18)))</f>
        <v>1.3707865168539326</v>
      </c>
      <c r="C222" s="42">
        <f ca="1">Inputs!$B$2/B222</f>
        <v>163.40983606557376</v>
      </c>
      <c r="D222" s="43">
        <f ca="1">WORKDAY(Inputs!$B$3, ROUND(C222, 0),Sheet2!$A$2:$A$21)</f>
        <v>46255</v>
      </c>
    </row>
    <row r="223" spans="1:4" x14ac:dyDescent="0.25">
      <c r="A223" s="42">
        <f t="shared" si="5"/>
        <v>222</v>
      </c>
      <c r="B223" s="42" cm="1">
        <f t="array" aca="1" ref="B223" ca="1">INDEX(Historical!$A$1:$A$18, RANDBETWEEN(1, COUNTA(Historical!$A$1:$A$18)))</f>
        <v>1.5</v>
      </c>
      <c r="C223" s="42">
        <f ca="1">Inputs!$B$2/B223</f>
        <v>149.33333333333334</v>
      </c>
      <c r="D223" s="43">
        <f ca="1">WORKDAY(Inputs!$B$3, ROUND(C223, 0),Sheet2!$A$2:$A$21)</f>
        <v>46237</v>
      </c>
    </row>
    <row r="224" spans="1:4" x14ac:dyDescent="0.25">
      <c r="A224" s="42">
        <f t="shared" si="5"/>
        <v>223</v>
      </c>
      <c r="B224" s="42" cm="1">
        <f t="array" aca="1" ref="B224" ca="1">INDEX(Historical!$A$1:$A$18, RANDBETWEEN(1, COUNTA(Historical!$A$1:$A$18)))</f>
        <v>1.3214285714285714</v>
      </c>
      <c r="C224" s="42">
        <f ca="1">Inputs!$B$2/B224</f>
        <v>169.51351351351352</v>
      </c>
      <c r="D224" s="43">
        <f ca="1">WORKDAY(Inputs!$B$3, ROUND(C224, 0),Sheet2!$A$2:$A$21)</f>
        <v>46266</v>
      </c>
    </row>
    <row r="225" spans="1:4" x14ac:dyDescent="0.25">
      <c r="A225" s="42">
        <f t="shared" si="5"/>
        <v>224</v>
      </c>
      <c r="B225" s="42" cm="1">
        <f t="array" aca="1" ref="B225" ca="1">INDEX(Historical!$A$1:$A$18, RANDBETWEEN(1, COUNTA(Historical!$A$1:$A$18)))</f>
        <v>1.4347826086956521</v>
      </c>
      <c r="C225" s="42">
        <f ca="1">Inputs!$B$2/B225</f>
        <v>156.12121212121212</v>
      </c>
      <c r="D225" s="43">
        <f ca="1">WORKDAY(Inputs!$B$3, ROUND(C225, 0),Sheet2!$A$2:$A$21)</f>
        <v>46246</v>
      </c>
    </row>
    <row r="226" spans="1:4" x14ac:dyDescent="0.25">
      <c r="A226" s="42">
        <f t="shared" si="5"/>
        <v>225</v>
      </c>
      <c r="B226" s="42" cm="1">
        <f t="array" aca="1" ref="B226" ca="1">INDEX(Historical!$A$1:$A$18, RANDBETWEEN(1, COUNTA(Historical!$A$1:$A$18)))</f>
        <v>1.1666666666666667</v>
      </c>
      <c r="C226" s="42">
        <f ca="1">Inputs!$B$2/B226</f>
        <v>192</v>
      </c>
      <c r="D226" s="43">
        <f ca="1">WORKDAY(Inputs!$B$3, ROUND(C226, 0),Sheet2!$A$2:$A$21)</f>
        <v>46297</v>
      </c>
    </row>
    <row r="227" spans="1:4" x14ac:dyDescent="0.25">
      <c r="A227" s="42">
        <f t="shared" si="5"/>
        <v>226</v>
      </c>
      <c r="B227" s="42" cm="1">
        <f t="array" aca="1" ref="B227" ca="1">INDEX(Historical!$A$1:$A$18, RANDBETWEEN(1, COUNTA(Historical!$A$1:$A$18)))</f>
        <v>1.303030303030303</v>
      </c>
      <c r="C227" s="42">
        <f ca="1">Inputs!$B$2/B227</f>
        <v>171.90697674418604</v>
      </c>
      <c r="D227" s="43">
        <f ca="1">WORKDAY(Inputs!$B$3, ROUND(C227, 0),Sheet2!$A$2:$A$21)</f>
        <v>46268</v>
      </c>
    </row>
    <row r="228" spans="1:4" x14ac:dyDescent="0.25">
      <c r="A228" s="42">
        <f t="shared" si="5"/>
        <v>227</v>
      </c>
      <c r="B228" s="42" cm="1">
        <f t="array" aca="1" ref="B228" ca="1">INDEX(Historical!$A$1:$A$18, RANDBETWEEN(1, COUNTA(Historical!$A$1:$A$18)))</f>
        <v>1.3611111111111112</v>
      </c>
      <c r="C228" s="42">
        <f ca="1">Inputs!$B$2/B228</f>
        <v>164.57142857142856</v>
      </c>
      <c r="D228" s="43">
        <f ca="1">WORKDAY(Inputs!$B$3, ROUND(C228, 0),Sheet2!$A$2:$A$21)</f>
        <v>46259</v>
      </c>
    </row>
    <row r="229" spans="1:4" x14ac:dyDescent="0.25">
      <c r="A229" s="42">
        <f t="shared" si="5"/>
        <v>228</v>
      </c>
      <c r="B229" s="42" cm="1">
        <f t="array" aca="1" ref="B229" ca="1">INDEX(Historical!$A$1:$A$18, RANDBETWEEN(1, COUNTA(Historical!$A$1:$A$18)))</f>
        <v>1.3214285714285714</v>
      </c>
      <c r="C229" s="42">
        <f ca="1">Inputs!$B$2/B229</f>
        <v>169.51351351351352</v>
      </c>
      <c r="D229" s="43">
        <f ca="1">WORKDAY(Inputs!$B$3, ROUND(C229, 0),Sheet2!$A$2:$A$21)</f>
        <v>46266</v>
      </c>
    </row>
    <row r="230" spans="1:4" x14ac:dyDescent="0.25">
      <c r="A230" s="42">
        <f t="shared" si="5"/>
        <v>229</v>
      </c>
      <c r="B230" s="42" cm="1">
        <f t="array" aca="1" ref="B230" ca="1">INDEX(Historical!$A$1:$A$18, RANDBETWEEN(1, COUNTA(Historical!$A$1:$A$18)))</f>
        <v>1.375</v>
      </c>
      <c r="C230" s="42">
        <f ca="1">Inputs!$B$2/B230</f>
        <v>162.90909090909091</v>
      </c>
      <c r="D230" s="43">
        <f ca="1">WORKDAY(Inputs!$B$3, ROUND(C230, 0),Sheet2!$A$2:$A$21)</f>
        <v>46255</v>
      </c>
    </row>
    <row r="231" spans="1:4" x14ac:dyDescent="0.25">
      <c r="A231" s="42">
        <f t="shared" si="5"/>
        <v>230</v>
      </c>
      <c r="B231" s="42" cm="1">
        <f t="array" aca="1" ref="B231" ca="1">INDEX(Historical!$A$1:$A$18, RANDBETWEEN(1, COUNTA(Historical!$A$1:$A$18)))</f>
        <v>1.3611111111111112</v>
      </c>
      <c r="C231" s="42">
        <f ca="1">Inputs!$B$2/B231</f>
        <v>164.57142857142856</v>
      </c>
      <c r="D231" s="43">
        <f ca="1">WORKDAY(Inputs!$B$3, ROUND(C231, 0),Sheet2!$A$2:$A$21)</f>
        <v>46259</v>
      </c>
    </row>
    <row r="232" spans="1:4" x14ac:dyDescent="0.25">
      <c r="A232" s="42">
        <f t="shared" si="5"/>
        <v>231</v>
      </c>
      <c r="B232" s="42" cm="1">
        <f t="array" aca="1" ref="B232" ca="1">INDEX(Historical!$A$1:$A$18, RANDBETWEEN(1, COUNTA(Historical!$A$1:$A$18)))</f>
        <v>1.4038461538461537</v>
      </c>
      <c r="C232" s="42">
        <f ca="1">Inputs!$B$2/B232</f>
        <v>159.56164383561645</v>
      </c>
      <c r="D232" s="43">
        <f ca="1">WORKDAY(Inputs!$B$3, ROUND(C232, 0),Sheet2!$A$2:$A$21)</f>
        <v>46252</v>
      </c>
    </row>
    <row r="233" spans="1:4" x14ac:dyDescent="0.25">
      <c r="A233" s="42">
        <f t="shared" si="5"/>
        <v>232</v>
      </c>
      <c r="B233" s="42" cm="1">
        <f t="array" aca="1" ref="B233" ca="1">INDEX(Historical!$A$1:$A$18, RANDBETWEEN(1, COUNTA(Historical!$A$1:$A$18)))</f>
        <v>1.3707865168539326</v>
      </c>
      <c r="C233" s="42">
        <f ca="1">Inputs!$B$2/B233</f>
        <v>163.40983606557376</v>
      </c>
      <c r="D233" s="43">
        <f ca="1">WORKDAY(Inputs!$B$3, ROUND(C233, 0),Sheet2!$A$2:$A$21)</f>
        <v>46255</v>
      </c>
    </row>
    <row r="234" spans="1:4" x14ac:dyDescent="0.25">
      <c r="A234" s="42">
        <f t="shared" si="5"/>
        <v>233</v>
      </c>
      <c r="B234" s="42" cm="1">
        <f t="array" aca="1" ref="B234" ca="1">INDEX(Historical!$A$1:$A$18, RANDBETWEEN(1, COUNTA(Historical!$A$1:$A$18)))</f>
        <v>1.375</v>
      </c>
      <c r="C234" s="42">
        <f ca="1">Inputs!$B$2/B234</f>
        <v>162.90909090909091</v>
      </c>
      <c r="D234" s="43">
        <f ca="1">WORKDAY(Inputs!$B$3, ROUND(C234, 0),Sheet2!$A$2:$A$21)</f>
        <v>46255</v>
      </c>
    </row>
    <row r="235" spans="1:4" x14ac:dyDescent="0.25">
      <c r="A235" s="42">
        <f t="shared" si="5"/>
        <v>234</v>
      </c>
      <c r="B235" s="42" cm="1">
        <f t="array" aca="1" ref="B235" ca="1">INDEX(Historical!$A$1:$A$18, RANDBETWEEN(1, COUNTA(Historical!$A$1:$A$18)))</f>
        <v>1.3559322033898304</v>
      </c>
      <c r="C235" s="42">
        <f ca="1">Inputs!$B$2/B235</f>
        <v>165.20000000000002</v>
      </c>
      <c r="D235" s="43">
        <f ca="1">WORKDAY(Inputs!$B$3, ROUND(C235, 0),Sheet2!$A$2:$A$21)</f>
        <v>46259</v>
      </c>
    </row>
    <row r="236" spans="1:4" x14ac:dyDescent="0.25">
      <c r="A236" s="42">
        <f t="shared" si="5"/>
        <v>235</v>
      </c>
      <c r="B236" s="42" cm="1">
        <f t="array" aca="1" ref="B236" ca="1">INDEX(Historical!$A$1:$A$18, RANDBETWEEN(1, COUNTA(Historical!$A$1:$A$18)))</f>
        <v>1.303030303030303</v>
      </c>
      <c r="C236" s="42">
        <f ca="1">Inputs!$B$2/B236</f>
        <v>171.90697674418604</v>
      </c>
      <c r="D236" s="43">
        <f ca="1">WORKDAY(Inputs!$B$3, ROUND(C236, 0),Sheet2!$A$2:$A$21)</f>
        <v>46268</v>
      </c>
    </row>
    <row r="237" spans="1:4" x14ac:dyDescent="0.25">
      <c r="A237" s="42">
        <f t="shared" si="5"/>
        <v>236</v>
      </c>
      <c r="B237" s="42" cm="1">
        <f t="array" aca="1" ref="B237" ca="1">INDEX(Historical!$A$1:$A$18, RANDBETWEEN(1, COUNTA(Historical!$A$1:$A$18)))</f>
        <v>1.3559322033898304</v>
      </c>
      <c r="C237" s="42">
        <f ca="1">Inputs!$B$2/B237</f>
        <v>165.20000000000002</v>
      </c>
      <c r="D237" s="43">
        <f ca="1">WORKDAY(Inputs!$B$3, ROUND(C237, 0),Sheet2!$A$2:$A$21)</f>
        <v>46259</v>
      </c>
    </row>
    <row r="238" spans="1:4" x14ac:dyDescent="0.25">
      <c r="A238" s="42">
        <f t="shared" si="5"/>
        <v>237</v>
      </c>
      <c r="B238" s="42" cm="1">
        <f t="array" aca="1" ref="B238" ca="1">INDEX(Historical!$A$1:$A$18, RANDBETWEEN(1, COUNTA(Historical!$A$1:$A$18)))</f>
        <v>1.5</v>
      </c>
      <c r="C238" s="42">
        <f ca="1">Inputs!$B$2/B238</f>
        <v>149.33333333333334</v>
      </c>
      <c r="D238" s="43">
        <f ca="1">WORKDAY(Inputs!$B$3, ROUND(C238, 0),Sheet2!$A$2:$A$21)</f>
        <v>46237</v>
      </c>
    </row>
    <row r="239" spans="1:4" x14ac:dyDescent="0.25">
      <c r="A239" s="42">
        <f t="shared" si="5"/>
        <v>238</v>
      </c>
      <c r="B239" s="42" cm="1">
        <f t="array" aca="1" ref="B239" ca="1">INDEX(Historical!$A$1:$A$18, RANDBETWEEN(1, COUNTA(Historical!$A$1:$A$18)))</f>
        <v>1.5</v>
      </c>
      <c r="C239" s="42">
        <f ca="1">Inputs!$B$2/B239</f>
        <v>149.33333333333334</v>
      </c>
      <c r="D239" s="43">
        <f ca="1">WORKDAY(Inputs!$B$3, ROUND(C239, 0),Sheet2!$A$2:$A$21)</f>
        <v>46237</v>
      </c>
    </row>
    <row r="240" spans="1:4" x14ac:dyDescent="0.25">
      <c r="A240" s="42">
        <f t="shared" si="5"/>
        <v>239</v>
      </c>
      <c r="B240" s="42" cm="1">
        <f t="array" aca="1" ref="B240" ca="1">INDEX(Historical!$A$1:$A$18, RANDBETWEEN(1, COUNTA(Historical!$A$1:$A$18)))</f>
        <v>1.375</v>
      </c>
      <c r="C240" s="42">
        <f ca="1">Inputs!$B$2/B240</f>
        <v>162.90909090909091</v>
      </c>
      <c r="D240" s="43">
        <f ca="1">WORKDAY(Inputs!$B$3, ROUND(C240, 0),Sheet2!$A$2:$A$21)</f>
        <v>46255</v>
      </c>
    </row>
    <row r="241" spans="1:4" x14ac:dyDescent="0.25">
      <c r="A241" s="42">
        <f t="shared" si="5"/>
        <v>240</v>
      </c>
      <c r="B241" s="42" cm="1">
        <f t="array" aca="1" ref="B241" ca="1">INDEX(Historical!$A$1:$A$18, RANDBETWEEN(1, COUNTA(Historical!$A$1:$A$18)))</f>
        <v>1.368421052631579</v>
      </c>
      <c r="C241" s="42">
        <f ca="1">Inputs!$B$2/B241</f>
        <v>163.69230769230768</v>
      </c>
      <c r="D241" s="43">
        <f ca="1">WORKDAY(Inputs!$B$3, ROUND(C241, 0),Sheet2!$A$2:$A$21)</f>
        <v>46258</v>
      </c>
    </row>
    <row r="242" spans="1:4" x14ac:dyDescent="0.25">
      <c r="A242" s="42">
        <f t="shared" si="5"/>
        <v>241</v>
      </c>
      <c r="B242" s="42" cm="1">
        <f t="array" aca="1" ref="B242" ca="1">INDEX(Historical!$A$1:$A$18, RANDBETWEEN(1, COUNTA(Historical!$A$1:$A$18)))</f>
        <v>1.3707865168539326</v>
      </c>
      <c r="C242" s="42">
        <f ca="1">Inputs!$B$2/B242</f>
        <v>163.40983606557376</v>
      </c>
      <c r="D242" s="43">
        <f ca="1">WORKDAY(Inputs!$B$3, ROUND(C242, 0),Sheet2!$A$2:$A$21)</f>
        <v>46255</v>
      </c>
    </row>
    <row r="243" spans="1:4" x14ac:dyDescent="0.25">
      <c r="A243" s="42">
        <f t="shared" si="5"/>
        <v>242</v>
      </c>
      <c r="B243" s="42" cm="1">
        <f t="array" aca="1" ref="B243" ca="1">INDEX(Historical!$A$1:$A$18, RANDBETWEEN(1, COUNTA(Historical!$A$1:$A$18)))</f>
        <v>1.2941176470588236</v>
      </c>
      <c r="C243" s="42">
        <f ca="1">Inputs!$B$2/B243</f>
        <v>173.09090909090909</v>
      </c>
      <c r="D243" s="43">
        <f ca="1">WORKDAY(Inputs!$B$3, ROUND(C243, 0),Sheet2!$A$2:$A$21)</f>
        <v>46269</v>
      </c>
    </row>
    <row r="244" spans="1:4" x14ac:dyDescent="0.25">
      <c r="A244" s="42">
        <f t="shared" si="5"/>
        <v>243</v>
      </c>
      <c r="B244" s="42" cm="1">
        <f t="array" aca="1" ref="B244" ca="1">INDEX(Historical!$A$1:$A$18, RANDBETWEEN(1, COUNTA(Historical!$A$1:$A$18)))</f>
        <v>1.375</v>
      </c>
      <c r="C244" s="42">
        <f ca="1">Inputs!$B$2/B244</f>
        <v>162.90909090909091</v>
      </c>
      <c r="D244" s="43">
        <f ca="1">WORKDAY(Inputs!$B$3, ROUND(C244, 0),Sheet2!$A$2:$A$21)</f>
        <v>46255</v>
      </c>
    </row>
    <row r="245" spans="1:4" x14ac:dyDescent="0.25">
      <c r="A245" s="42">
        <f t="shared" si="5"/>
        <v>244</v>
      </c>
      <c r="B245" s="42" cm="1">
        <f t="array" aca="1" ref="B245" ca="1">INDEX(Historical!$A$1:$A$18, RANDBETWEEN(1, COUNTA(Historical!$A$1:$A$18)))</f>
        <v>1.5</v>
      </c>
      <c r="C245" s="42">
        <f ca="1">Inputs!$B$2/B245</f>
        <v>149.33333333333334</v>
      </c>
      <c r="D245" s="43">
        <f ca="1">WORKDAY(Inputs!$B$3, ROUND(C245, 0),Sheet2!$A$2:$A$21)</f>
        <v>46237</v>
      </c>
    </row>
    <row r="246" spans="1:4" x14ac:dyDescent="0.25">
      <c r="A246" s="42">
        <f t="shared" si="5"/>
        <v>245</v>
      </c>
      <c r="B246" s="42" cm="1">
        <f t="array" aca="1" ref="B246" ca="1">INDEX(Historical!$A$1:$A$18, RANDBETWEEN(1, COUNTA(Historical!$A$1:$A$18)))</f>
        <v>1.3617021276595744</v>
      </c>
      <c r="C246" s="42">
        <f ca="1">Inputs!$B$2/B246</f>
        <v>164.5</v>
      </c>
      <c r="D246" s="43">
        <f ca="1">WORKDAY(Inputs!$B$3, ROUND(C246, 0),Sheet2!$A$2:$A$21)</f>
        <v>46259</v>
      </c>
    </row>
    <row r="247" spans="1:4" x14ac:dyDescent="0.25">
      <c r="A247" s="42">
        <f t="shared" si="5"/>
        <v>246</v>
      </c>
      <c r="B247" s="42" cm="1">
        <f t="array" aca="1" ref="B247" ca="1">INDEX(Historical!$A$1:$A$18, RANDBETWEEN(1, COUNTA(Historical!$A$1:$A$18)))</f>
        <v>1.2941176470588236</v>
      </c>
      <c r="C247" s="42">
        <f ca="1">Inputs!$B$2/B247</f>
        <v>173.09090909090909</v>
      </c>
      <c r="D247" s="43">
        <f ca="1">WORKDAY(Inputs!$B$3, ROUND(C247, 0),Sheet2!$A$2:$A$21)</f>
        <v>46269</v>
      </c>
    </row>
    <row r="248" spans="1:4" x14ac:dyDescent="0.25">
      <c r="A248" s="42">
        <f t="shared" si="5"/>
        <v>247</v>
      </c>
      <c r="B248" s="42" cm="1">
        <f t="array" aca="1" ref="B248" ca="1">INDEX(Historical!$A$1:$A$18, RANDBETWEEN(1, COUNTA(Historical!$A$1:$A$18)))</f>
        <v>1.368421052631579</v>
      </c>
      <c r="C248" s="42">
        <f ca="1">Inputs!$B$2/B248</f>
        <v>163.69230769230768</v>
      </c>
      <c r="D248" s="43">
        <f ca="1">WORKDAY(Inputs!$B$3, ROUND(C248, 0),Sheet2!$A$2:$A$21)</f>
        <v>46258</v>
      </c>
    </row>
    <row r="249" spans="1:4" x14ac:dyDescent="0.25">
      <c r="A249" s="42">
        <f t="shared" si="5"/>
        <v>248</v>
      </c>
      <c r="B249" s="42" cm="1">
        <f t="array" aca="1" ref="B249" ca="1">INDEX(Historical!$A$1:$A$18, RANDBETWEEN(1, COUNTA(Historical!$A$1:$A$18)))</f>
        <v>1.4761904761904763</v>
      </c>
      <c r="C249" s="42">
        <f ca="1">Inputs!$B$2/B249</f>
        <v>151.74193548387095</v>
      </c>
      <c r="D249" s="43">
        <f ca="1">WORKDAY(Inputs!$B$3, ROUND(C249, 0),Sheet2!$A$2:$A$21)</f>
        <v>46240</v>
      </c>
    </row>
    <row r="250" spans="1:4" x14ac:dyDescent="0.25">
      <c r="A250" s="42">
        <f t="shared" si="5"/>
        <v>249</v>
      </c>
      <c r="B250" s="42" cm="1">
        <f t="array" aca="1" ref="B250" ca="1">INDEX(Historical!$A$1:$A$18, RANDBETWEEN(1, COUNTA(Historical!$A$1:$A$18)))</f>
        <v>1.3692307692307693</v>
      </c>
      <c r="C250" s="42">
        <f ca="1">Inputs!$B$2/B250</f>
        <v>163.59550561797752</v>
      </c>
      <c r="D250" s="43">
        <f ca="1">WORKDAY(Inputs!$B$3, ROUND(C250, 0),Sheet2!$A$2:$A$21)</f>
        <v>46258</v>
      </c>
    </row>
    <row r="251" spans="1:4" x14ac:dyDescent="0.25">
      <c r="A251" s="42">
        <f t="shared" si="5"/>
        <v>250</v>
      </c>
      <c r="B251" s="42" cm="1">
        <f t="array" aca="1" ref="B251" ca="1">INDEX(Historical!$A$1:$A$18, RANDBETWEEN(1, COUNTA(Historical!$A$1:$A$18)))</f>
        <v>1.5</v>
      </c>
      <c r="C251" s="42">
        <f ca="1">Inputs!$B$2/B251</f>
        <v>149.33333333333334</v>
      </c>
      <c r="D251" s="43">
        <f ca="1">WORKDAY(Inputs!$B$3, ROUND(C251, 0),Sheet2!$A$2:$A$21)</f>
        <v>46237</v>
      </c>
    </row>
    <row r="252" spans="1:4" x14ac:dyDescent="0.25">
      <c r="A252" s="42">
        <f t="shared" si="5"/>
        <v>251</v>
      </c>
      <c r="B252" s="42" cm="1">
        <f t="array" aca="1" ref="B252" ca="1">INDEX(Historical!$A$1:$A$18, RANDBETWEEN(1, COUNTA(Historical!$A$1:$A$18)))</f>
        <v>1.375</v>
      </c>
      <c r="C252" s="42">
        <f ca="1">Inputs!$B$2/B252</f>
        <v>162.90909090909091</v>
      </c>
      <c r="D252" s="43">
        <f ca="1">WORKDAY(Inputs!$B$3, ROUND(C252, 0),Sheet2!$A$2:$A$21)</f>
        <v>46255</v>
      </c>
    </row>
    <row r="253" spans="1:4" x14ac:dyDescent="0.25">
      <c r="A253" s="42">
        <f t="shared" si="5"/>
        <v>252</v>
      </c>
      <c r="B253" s="42" cm="1">
        <f t="array" aca="1" ref="B253" ca="1">INDEX(Historical!$A$1:$A$18, RANDBETWEEN(1, COUNTA(Historical!$A$1:$A$18)))</f>
        <v>1.4038461538461537</v>
      </c>
      <c r="C253" s="42">
        <f ca="1">Inputs!$B$2/B253</f>
        <v>159.56164383561645</v>
      </c>
      <c r="D253" s="43">
        <f ca="1">WORKDAY(Inputs!$B$3, ROUND(C253, 0),Sheet2!$A$2:$A$21)</f>
        <v>46252</v>
      </c>
    </row>
    <row r="254" spans="1:4" x14ac:dyDescent="0.25">
      <c r="A254" s="42">
        <f t="shared" si="5"/>
        <v>253</v>
      </c>
      <c r="B254" s="42" cm="1">
        <f t="array" aca="1" ref="B254" ca="1">INDEX(Historical!$A$1:$A$18, RANDBETWEEN(1, COUNTA(Historical!$A$1:$A$18)))</f>
        <v>1.3617021276595744</v>
      </c>
      <c r="C254" s="42">
        <f ca="1">Inputs!$B$2/B254</f>
        <v>164.5</v>
      </c>
      <c r="D254" s="43">
        <f ca="1">WORKDAY(Inputs!$B$3, ROUND(C254, 0),Sheet2!$A$2:$A$21)</f>
        <v>46259</v>
      </c>
    </row>
    <row r="255" spans="1:4" x14ac:dyDescent="0.25">
      <c r="A255" s="42">
        <f t="shared" si="5"/>
        <v>254</v>
      </c>
      <c r="B255" s="42" cm="1">
        <f t="array" aca="1" ref="B255" ca="1">INDEX(Historical!$A$1:$A$18, RANDBETWEEN(1, COUNTA(Historical!$A$1:$A$18)))</f>
        <v>1.368421052631579</v>
      </c>
      <c r="C255" s="42">
        <f ca="1">Inputs!$B$2/B255</f>
        <v>163.69230769230768</v>
      </c>
      <c r="D255" s="43">
        <f ca="1">WORKDAY(Inputs!$B$3, ROUND(C255, 0),Sheet2!$A$2:$A$21)</f>
        <v>46258</v>
      </c>
    </row>
    <row r="256" spans="1:4" x14ac:dyDescent="0.25">
      <c r="A256" s="42">
        <f t="shared" si="5"/>
        <v>255</v>
      </c>
      <c r="B256" s="42" cm="1">
        <f t="array" aca="1" ref="B256" ca="1">INDEX(Historical!$A$1:$A$18, RANDBETWEEN(1, COUNTA(Historical!$A$1:$A$18)))</f>
        <v>1.3559322033898304</v>
      </c>
      <c r="C256" s="42">
        <f ca="1">Inputs!$B$2/B256</f>
        <v>165.20000000000002</v>
      </c>
      <c r="D256" s="43">
        <f ca="1">WORKDAY(Inputs!$B$3, ROUND(C256, 0),Sheet2!$A$2:$A$21)</f>
        <v>46259</v>
      </c>
    </row>
    <row r="257" spans="1:4" x14ac:dyDescent="0.25">
      <c r="A257" s="42">
        <f t="shared" si="5"/>
        <v>256</v>
      </c>
      <c r="B257" s="42" cm="1">
        <f t="array" aca="1" ref="B257" ca="1">INDEX(Historical!$A$1:$A$18, RANDBETWEEN(1, COUNTA(Historical!$A$1:$A$18)))</f>
        <v>1.3692307692307693</v>
      </c>
      <c r="C257" s="42">
        <f ca="1">Inputs!$B$2/B257</f>
        <v>163.59550561797752</v>
      </c>
      <c r="D257" s="43">
        <f ca="1">WORKDAY(Inputs!$B$3, ROUND(C257, 0),Sheet2!$A$2:$A$21)</f>
        <v>46258</v>
      </c>
    </row>
    <row r="258" spans="1:4" x14ac:dyDescent="0.25">
      <c r="A258" s="42">
        <f t="shared" si="5"/>
        <v>257</v>
      </c>
      <c r="B258" s="42" cm="1">
        <f t="array" aca="1" ref="B258" ca="1">INDEX(Historical!$A$1:$A$18, RANDBETWEEN(1, COUNTA(Historical!$A$1:$A$18)))</f>
        <v>1.4347826086956521</v>
      </c>
      <c r="C258" s="42">
        <f ca="1">Inputs!$B$2/B258</f>
        <v>156.12121212121212</v>
      </c>
      <c r="D258" s="43">
        <f ca="1">WORKDAY(Inputs!$B$3, ROUND(C258, 0),Sheet2!$A$2:$A$21)</f>
        <v>46246</v>
      </c>
    </row>
    <row r="259" spans="1:4" x14ac:dyDescent="0.25">
      <c r="A259" s="42">
        <f t="shared" ref="A259:A322" si="6">ROW()-1</f>
        <v>258</v>
      </c>
      <c r="B259" s="42" cm="1">
        <f t="array" aca="1" ref="B259" ca="1">INDEX(Historical!$A$1:$A$18, RANDBETWEEN(1, COUNTA(Historical!$A$1:$A$18)))</f>
        <v>1.3617021276595744</v>
      </c>
      <c r="C259" s="42">
        <f ca="1">Inputs!$B$2/B259</f>
        <v>164.5</v>
      </c>
      <c r="D259" s="43">
        <f ca="1">WORKDAY(Inputs!$B$3, ROUND(C259, 0),Sheet2!$A$2:$A$21)</f>
        <v>46259</v>
      </c>
    </row>
    <row r="260" spans="1:4" x14ac:dyDescent="0.25">
      <c r="A260" s="42">
        <f t="shared" si="6"/>
        <v>259</v>
      </c>
      <c r="B260" s="42" cm="1">
        <f t="array" aca="1" ref="B260" ca="1">INDEX(Historical!$A$1:$A$18, RANDBETWEEN(1, COUNTA(Historical!$A$1:$A$18)))</f>
        <v>1.2941176470588236</v>
      </c>
      <c r="C260" s="42">
        <f ca="1">Inputs!$B$2/B260</f>
        <v>173.09090909090909</v>
      </c>
      <c r="D260" s="43">
        <f ca="1">WORKDAY(Inputs!$B$3, ROUND(C260, 0),Sheet2!$A$2:$A$21)</f>
        <v>46269</v>
      </c>
    </row>
    <row r="261" spans="1:4" x14ac:dyDescent="0.25">
      <c r="A261" s="42">
        <f t="shared" si="6"/>
        <v>260</v>
      </c>
      <c r="B261" s="42" cm="1">
        <f t="array" aca="1" ref="B261" ca="1">INDEX(Historical!$A$1:$A$18, RANDBETWEEN(1, COUNTA(Historical!$A$1:$A$18)))</f>
        <v>1.303030303030303</v>
      </c>
      <c r="C261" s="42">
        <f ca="1">Inputs!$B$2/B261</f>
        <v>171.90697674418604</v>
      </c>
      <c r="D261" s="43">
        <f ca="1">WORKDAY(Inputs!$B$3, ROUND(C261, 0),Sheet2!$A$2:$A$21)</f>
        <v>46268</v>
      </c>
    </row>
    <row r="262" spans="1:4" x14ac:dyDescent="0.25">
      <c r="A262" s="42">
        <f t="shared" si="6"/>
        <v>261</v>
      </c>
      <c r="B262" s="42" cm="1">
        <f t="array" aca="1" ref="B262" ca="1">INDEX(Historical!$A$1:$A$18, RANDBETWEEN(1, COUNTA(Historical!$A$1:$A$18)))</f>
        <v>1.368421052631579</v>
      </c>
      <c r="C262" s="42">
        <f ca="1">Inputs!$B$2/B262</f>
        <v>163.69230769230768</v>
      </c>
      <c r="D262" s="43">
        <f ca="1">WORKDAY(Inputs!$B$3, ROUND(C262, 0),Sheet2!$A$2:$A$21)</f>
        <v>46258</v>
      </c>
    </row>
    <row r="263" spans="1:4" x14ac:dyDescent="0.25">
      <c r="A263" s="42">
        <f t="shared" si="6"/>
        <v>262</v>
      </c>
      <c r="B263" s="42" cm="1">
        <f t="array" aca="1" ref="B263" ca="1">INDEX(Historical!$A$1:$A$18, RANDBETWEEN(1, COUNTA(Historical!$A$1:$A$18)))</f>
        <v>1.4347826086956521</v>
      </c>
      <c r="C263" s="42">
        <f ca="1">Inputs!$B$2/B263</f>
        <v>156.12121212121212</v>
      </c>
      <c r="D263" s="43">
        <f ca="1">WORKDAY(Inputs!$B$3, ROUND(C263, 0),Sheet2!$A$2:$A$21)</f>
        <v>46246</v>
      </c>
    </row>
    <row r="264" spans="1:4" x14ac:dyDescent="0.25">
      <c r="A264" s="42">
        <f t="shared" si="6"/>
        <v>263</v>
      </c>
      <c r="B264" s="42" cm="1">
        <f t="array" aca="1" ref="B264" ca="1">INDEX(Historical!$A$1:$A$18, RANDBETWEEN(1, COUNTA(Historical!$A$1:$A$18)))</f>
        <v>1.2941176470588236</v>
      </c>
      <c r="C264" s="42">
        <f ca="1">Inputs!$B$2/B264</f>
        <v>173.09090909090909</v>
      </c>
      <c r="D264" s="43">
        <f ca="1">WORKDAY(Inputs!$B$3, ROUND(C264, 0),Sheet2!$A$2:$A$21)</f>
        <v>46269</v>
      </c>
    </row>
    <row r="265" spans="1:4" x14ac:dyDescent="0.25">
      <c r="A265" s="42">
        <f t="shared" si="6"/>
        <v>264</v>
      </c>
      <c r="B265" s="42" cm="1">
        <f t="array" aca="1" ref="B265" ca="1">INDEX(Historical!$A$1:$A$18, RANDBETWEEN(1, COUNTA(Historical!$A$1:$A$18)))</f>
        <v>1.3559322033898304</v>
      </c>
      <c r="C265" s="42">
        <f ca="1">Inputs!$B$2/B265</f>
        <v>165.20000000000002</v>
      </c>
      <c r="D265" s="43">
        <f ca="1">WORKDAY(Inputs!$B$3, ROUND(C265, 0),Sheet2!$A$2:$A$21)</f>
        <v>46259</v>
      </c>
    </row>
    <row r="266" spans="1:4" x14ac:dyDescent="0.25">
      <c r="A266" s="42">
        <f t="shared" si="6"/>
        <v>265</v>
      </c>
      <c r="B266" s="42" cm="1">
        <f t="array" aca="1" ref="B266" ca="1">INDEX(Historical!$A$1:$A$18, RANDBETWEEN(1, COUNTA(Historical!$A$1:$A$18)))</f>
        <v>1.3157894736842106</v>
      </c>
      <c r="C266" s="42">
        <f ca="1">Inputs!$B$2/B266</f>
        <v>170.23999999999998</v>
      </c>
      <c r="D266" s="43">
        <f ca="1">WORKDAY(Inputs!$B$3, ROUND(C266, 0),Sheet2!$A$2:$A$21)</f>
        <v>46266</v>
      </c>
    </row>
    <row r="267" spans="1:4" x14ac:dyDescent="0.25">
      <c r="A267" s="42">
        <f t="shared" si="6"/>
        <v>266</v>
      </c>
      <c r="B267" s="42" cm="1">
        <f t="array" aca="1" ref="B267" ca="1">INDEX(Historical!$A$1:$A$18, RANDBETWEEN(1, COUNTA(Historical!$A$1:$A$18)))</f>
        <v>1.3611111111111112</v>
      </c>
      <c r="C267" s="42">
        <f ca="1">Inputs!$B$2/B267</f>
        <v>164.57142857142856</v>
      </c>
      <c r="D267" s="43">
        <f ca="1">WORKDAY(Inputs!$B$3, ROUND(C267, 0),Sheet2!$A$2:$A$21)</f>
        <v>46259</v>
      </c>
    </row>
    <row r="268" spans="1:4" x14ac:dyDescent="0.25">
      <c r="A268" s="42">
        <f t="shared" si="6"/>
        <v>267</v>
      </c>
      <c r="B268" s="42" cm="1">
        <f t="array" aca="1" ref="B268" ca="1">INDEX(Historical!$A$1:$A$18, RANDBETWEEN(1, COUNTA(Historical!$A$1:$A$18)))</f>
        <v>1.1666666666666667</v>
      </c>
      <c r="C268" s="42">
        <f ca="1">Inputs!$B$2/B268</f>
        <v>192</v>
      </c>
      <c r="D268" s="43">
        <f ca="1">WORKDAY(Inputs!$B$3, ROUND(C268, 0),Sheet2!$A$2:$A$21)</f>
        <v>46297</v>
      </c>
    </row>
    <row r="269" spans="1:4" x14ac:dyDescent="0.25">
      <c r="A269" s="42">
        <f t="shared" si="6"/>
        <v>268</v>
      </c>
      <c r="B269" s="42" cm="1">
        <f t="array" aca="1" ref="B269" ca="1">INDEX(Historical!$A$1:$A$18, RANDBETWEEN(1, COUNTA(Historical!$A$1:$A$18)))</f>
        <v>1.2941176470588236</v>
      </c>
      <c r="C269" s="42">
        <f ca="1">Inputs!$B$2/B269</f>
        <v>173.09090909090909</v>
      </c>
      <c r="D269" s="43">
        <f ca="1">WORKDAY(Inputs!$B$3, ROUND(C269, 0),Sheet2!$A$2:$A$21)</f>
        <v>46269</v>
      </c>
    </row>
    <row r="270" spans="1:4" x14ac:dyDescent="0.25">
      <c r="A270" s="42">
        <f t="shared" si="6"/>
        <v>269</v>
      </c>
      <c r="B270" s="42" cm="1">
        <f t="array" aca="1" ref="B270" ca="1">INDEX(Historical!$A$1:$A$18, RANDBETWEEN(1, COUNTA(Historical!$A$1:$A$18)))</f>
        <v>1.4137931034482758</v>
      </c>
      <c r="C270" s="42">
        <f ca="1">Inputs!$B$2/B270</f>
        <v>158.4390243902439</v>
      </c>
      <c r="D270" s="43">
        <f ca="1">WORKDAY(Inputs!$B$3, ROUND(C270, 0),Sheet2!$A$2:$A$21)</f>
        <v>46248</v>
      </c>
    </row>
    <row r="271" spans="1:4" x14ac:dyDescent="0.25">
      <c r="A271" s="42">
        <f t="shared" si="6"/>
        <v>270</v>
      </c>
      <c r="B271" s="42" cm="1">
        <f t="array" aca="1" ref="B271" ca="1">INDEX(Historical!$A$1:$A$18, RANDBETWEEN(1, COUNTA(Historical!$A$1:$A$18)))</f>
        <v>1.4137931034482758</v>
      </c>
      <c r="C271" s="42">
        <f ca="1">Inputs!$B$2/B271</f>
        <v>158.4390243902439</v>
      </c>
      <c r="D271" s="43">
        <f ca="1">WORKDAY(Inputs!$B$3, ROUND(C271, 0),Sheet2!$A$2:$A$21)</f>
        <v>46248</v>
      </c>
    </row>
    <row r="272" spans="1:4" x14ac:dyDescent="0.25">
      <c r="A272" s="42">
        <f t="shared" si="6"/>
        <v>271</v>
      </c>
      <c r="B272" s="42" cm="1">
        <f t="array" aca="1" ref="B272" ca="1">INDEX(Historical!$A$1:$A$18, RANDBETWEEN(1, COUNTA(Historical!$A$1:$A$18)))</f>
        <v>1.3617021276595744</v>
      </c>
      <c r="C272" s="42">
        <f ca="1">Inputs!$B$2/B272</f>
        <v>164.5</v>
      </c>
      <c r="D272" s="43">
        <f ca="1">WORKDAY(Inputs!$B$3, ROUND(C272, 0),Sheet2!$A$2:$A$21)</f>
        <v>46259</v>
      </c>
    </row>
    <row r="273" spans="1:4" x14ac:dyDescent="0.25">
      <c r="A273" s="42">
        <f t="shared" si="6"/>
        <v>272</v>
      </c>
      <c r="B273" s="42" cm="1">
        <f t="array" aca="1" ref="B273" ca="1">INDEX(Historical!$A$1:$A$18, RANDBETWEEN(1, COUNTA(Historical!$A$1:$A$18)))</f>
        <v>1.375</v>
      </c>
      <c r="C273" s="42">
        <f ca="1">Inputs!$B$2/B273</f>
        <v>162.90909090909091</v>
      </c>
      <c r="D273" s="43">
        <f ca="1">WORKDAY(Inputs!$B$3, ROUND(C273, 0),Sheet2!$A$2:$A$21)</f>
        <v>46255</v>
      </c>
    </row>
    <row r="274" spans="1:4" x14ac:dyDescent="0.25">
      <c r="A274" s="42">
        <f t="shared" si="6"/>
        <v>273</v>
      </c>
      <c r="B274" s="42" cm="1">
        <f t="array" aca="1" ref="B274" ca="1">INDEX(Historical!$A$1:$A$18, RANDBETWEEN(1, COUNTA(Historical!$A$1:$A$18)))</f>
        <v>1.3611111111111112</v>
      </c>
      <c r="C274" s="42">
        <f ca="1">Inputs!$B$2/B274</f>
        <v>164.57142857142856</v>
      </c>
      <c r="D274" s="43">
        <f ca="1">WORKDAY(Inputs!$B$3, ROUND(C274, 0),Sheet2!$A$2:$A$21)</f>
        <v>46259</v>
      </c>
    </row>
    <row r="275" spans="1:4" x14ac:dyDescent="0.25">
      <c r="A275" s="42">
        <f t="shared" si="6"/>
        <v>274</v>
      </c>
      <c r="B275" s="42" cm="1">
        <f t="array" aca="1" ref="B275" ca="1">INDEX(Historical!$A$1:$A$18, RANDBETWEEN(1, COUNTA(Historical!$A$1:$A$18)))</f>
        <v>1.375</v>
      </c>
      <c r="C275" s="42">
        <f ca="1">Inputs!$B$2/B275</f>
        <v>162.90909090909091</v>
      </c>
      <c r="D275" s="43">
        <f ca="1">WORKDAY(Inputs!$B$3, ROUND(C275, 0),Sheet2!$A$2:$A$21)</f>
        <v>46255</v>
      </c>
    </row>
    <row r="276" spans="1:4" x14ac:dyDescent="0.25">
      <c r="A276" s="42">
        <f t="shared" si="6"/>
        <v>275</v>
      </c>
      <c r="B276" s="42" cm="1">
        <f t="array" aca="1" ref="B276" ca="1">INDEX(Historical!$A$1:$A$18, RANDBETWEEN(1, COUNTA(Historical!$A$1:$A$18)))</f>
        <v>1.290909090909091</v>
      </c>
      <c r="C276" s="42">
        <f ca="1">Inputs!$B$2/B276</f>
        <v>173.52112676056336</v>
      </c>
      <c r="D276" s="43">
        <f ca="1">WORKDAY(Inputs!$B$3, ROUND(C276, 0),Sheet2!$A$2:$A$21)</f>
        <v>46273</v>
      </c>
    </row>
    <row r="277" spans="1:4" x14ac:dyDescent="0.25">
      <c r="A277" s="42">
        <f t="shared" si="6"/>
        <v>276</v>
      </c>
      <c r="B277" s="42" cm="1">
        <f t="array" aca="1" ref="B277" ca="1">INDEX(Historical!$A$1:$A$18, RANDBETWEEN(1, COUNTA(Historical!$A$1:$A$18)))</f>
        <v>1.4137931034482758</v>
      </c>
      <c r="C277" s="42">
        <f ca="1">Inputs!$B$2/B277</f>
        <v>158.4390243902439</v>
      </c>
      <c r="D277" s="43">
        <f ca="1">WORKDAY(Inputs!$B$3, ROUND(C277, 0),Sheet2!$A$2:$A$21)</f>
        <v>46248</v>
      </c>
    </row>
    <row r="278" spans="1:4" x14ac:dyDescent="0.25">
      <c r="A278" s="42">
        <f t="shared" si="6"/>
        <v>277</v>
      </c>
      <c r="B278" s="42" cm="1">
        <f t="array" aca="1" ref="B278" ca="1">INDEX(Historical!$A$1:$A$18, RANDBETWEEN(1, COUNTA(Historical!$A$1:$A$18)))</f>
        <v>1.5</v>
      </c>
      <c r="C278" s="42">
        <f ca="1">Inputs!$B$2/B278</f>
        <v>149.33333333333334</v>
      </c>
      <c r="D278" s="43">
        <f ca="1">WORKDAY(Inputs!$B$3, ROUND(C278, 0),Sheet2!$A$2:$A$21)</f>
        <v>46237</v>
      </c>
    </row>
    <row r="279" spans="1:4" x14ac:dyDescent="0.25">
      <c r="A279" s="42">
        <f t="shared" si="6"/>
        <v>278</v>
      </c>
      <c r="B279" s="42" cm="1">
        <f t="array" aca="1" ref="B279" ca="1">INDEX(Historical!$A$1:$A$18, RANDBETWEEN(1, COUNTA(Historical!$A$1:$A$18)))</f>
        <v>1.4137931034482758</v>
      </c>
      <c r="C279" s="42">
        <f ca="1">Inputs!$B$2/B279</f>
        <v>158.4390243902439</v>
      </c>
      <c r="D279" s="43">
        <f ca="1">WORKDAY(Inputs!$B$3, ROUND(C279, 0),Sheet2!$A$2:$A$21)</f>
        <v>46248</v>
      </c>
    </row>
    <row r="280" spans="1:4" x14ac:dyDescent="0.25">
      <c r="A280" s="42">
        <f t="shared" si="6"/>
        <v>279</v>
      </c>
      <c r="B280" s="42" cm="1">
        <f t="array" aca="1" ref="B280" ca="1">INDEX(Historical!$A$1:$A$18, RANDBETWEEN(1, COUNTA(Historical!$A$1:$A$18)))</f>
        <v>1.1666666666666667</v>
      </c>
      <c r="C280" s="42">
        <f ca="1">Inputs!$B$2/B280</f>
        <v>192</v>
      </c>
      <c r="D280" s="43">
        <f ca="1">WORKDAY(Inputs!$B$3, ROUND(C280, 0),Sheet2!$A$2:$A$21)</f>
        <v>46297</v>
      </c>
    </row>
    <row r="281" spans="1:4" x14ac:dyDescent="0.25">
      <c r="A281" s="42">
        <f t="shared" si="6"/>
        <v>280</v>
      </c>
      <c r="B281" s="42" cm="1">
        <f t="array" aca="1" ref="B281" ca="1">INDEX(Historical!$A$1:$A$18, RANDBETWEEN(1, COUNTA(Historical!$A$1:$A$18)))</f>
        <v>1.375</v>
      </c>
      <c r="C281" s="42">
        <f ca="1">Inputs!$B$2/B281</f>
        <v>162.90909090909091</v>
      </c>
      <c r="D281" s="43">
        <f ca="1">WORKDAY(Inputs!$B$3, ROUND(C281, 0),Sheet2!$A$2:$A$21)</f>
        <v>46255</v>
      </c>
    </row>
    <row r="282" spans="1:4" x14ac:dyDescent="0.25">
      <c r="A282" s="42">
        <f t="shared" si="6"/>
        <v>281</v>
      </c>
      <c r="B282" s="42" cm="1">
        <f t="array" aca="1" ref="B282" ca="1">INDEX(Historical!$A$1:$A$18, RANDBETWEEN(1, COUNTA(Historical!$A$1:$A$18)))</f>
        <v>1.375</v>
      </c>
      <c r="C282" s="42">
        <f ca="1">Inputs!$B$2/B282</f>
        <v>162.90909090909091</v>
      </c>
      <c r="D282" s="43">
        <f ca="1">WORKDAY(Inputs!$B$3, ROUND(C282, 0),Sheet2!$A$2:$A$21)</f>
        <v>46255</v>
      </c>
    </row>
    <row r="283" spans="1:4" x14ac:dyDescent="0.25">
      <c r="A283" s="42">
        <f t="shared" si="6"/>
        <v>282</v>
      </c>
      <c r="B283" s="42" cm="1">
        <f t="array" aca="1" ref="B283" ca="1">INDEX(Historical!$A$1:$A$18, RANDBETWEEN(1, COUNTA(Historical!$A$1:$A$18)))</f>
        <v>1.375</v>
      </c>
      <c r="C283" s="42">
        <f ca="1">Inputs!$B$2/B283</f>
        <v>162.90909090909091</v>
      </c>
      <c r="D283" s="43">
        <f ca="1">WORKDAY(Inputs!$B$3, ROUND(C283, 0),Sheet2!$A$2:$A$21)</f>
        <v>46255</v>
      </c>
    </row>
    <row r="284" spans="1:4" x14ac:dyDescent="0.25">
      <c r="A284" s="42">
        <f t="shared" si="6"/>
        <v>283</v>
      </c>
      <c r="B284" s="42" cm="1">
        <f t="array" aca="1" ref="B284" ca="1">INDEX(Historical!$A$1:$A$18, RANDBETWEEN(1, COUNTA(Historical!$A$1:$A$18)))</f>
        <v>1.3617021276595744</v>
      </c>
      <c r="C284" s="42">
        <f ca="1">Inputs!$B$2/B284</f>
        <v>164.5</v>
      </c>
      <c r="D284" s="43">
        <f ca="1">WORKDAY(Inputs!$B$3, ROUND(C284, 0),Sheet2!$A$2:$A$21)</f>
        <v>46259</v>
      </c>
    </row>
    <row r="285" spans="1:4" x14ac:dyDescent="0.25">
      <c r="A285" s="42">
        <f t="shared" si="6"/>
        <v>284</v>
      </c>
      <c r="B285" s="42" cm="1">
        <f t="array" aca="1" ref="B285" ca="1">INDEX(Historical!$A$1:$A$18, RANDBETWEEN(1, COUNTA(Historical!$A$1:$A$18)))</f>
        <v>1.4347826086956521</v>
      </c>
      <c r="C285" s="42">
        <f ca="1">Inputs!$B$2/B285</f>
        <v>156.12121212121212</v>
      </c>
      <c r="D285" s="43">
        <f ca="1">WORKDAY(Inputs!$B$3, ROUND(C285, 0),Sheet2!$A$2:$A$21)</f>
        <v>46246</v>
      </c>
    </row>
    <row r="286" spans="1:4" x14ac:dyDescent="0.25">
      <c r="A286" s="42">
        <f t="shared" si="6"/>
        <v>285</v>
      </c>
      <c r="B286" s="42" cm="1">
        <f t="array" aca="1" ref="B286" ca="1">INDEX(Historical!$A$1:$A$18, RANDBETWEEN(1, COUNTA(Historical!$A$1:$A$18)))</f>
        <v>1.375</v>
      </c>
      <c r="C286" s="42">
        <f ca="1">Inputs!$B$2/B286</f>
        <v>162.90909090909091</v>
      </c>
      <c r="D286" s="43">
        <f ca="1">WORKDAY(Inputs!$B$3, ROUND(C286, 0),Sheet2!$A$2:$A$21)</f>
        <v>46255</v>
      </c>
    </row>
    <row r="287" spans="1:4" x14ac:dyDescent="0.25">
      <c r="A287" s="42">
        <f t="shared" si="6"/>
        <v>286</v>
      </c>
      <c r="B287" s="42" cm="1">
        <f t="array" aca="1" ref="B287" ca="1">INDEX(Historical!$A$1:$A$18, RANDBETWEEN(1, COUNTA(Historical!$A$1:$A$18)))</f>
        <v>1.3214285714285714</v>
      </c>
      <c r="C287" s="42">
        <f ca="1">Inputs!$B$2/B287</f>
        <v>169.51351351351352</v>
      </c>
      <c r="D287" s="43">
        <f ca="1">WORKDAY(Inputs!$B$3, ROUND(C287, 0),Sheet2!$A$2:$A$21)</f>
        <v>46266</v>
      </c>
    </row>
    <row r="288" spans="1:4" x14ac:dyDescent="0.25">
      <c r="A288" s="42">
        <f t="shared" si="6"/>
        <v>287</v>
      </c>
      <c r="B288" s="42" cm="1">
        <f t="array" aca="1" ref="B288" ca="1">INDEX(Historical!$A$1:$A$18, RANDBETWEEN(1, COUNTA(Historical!$A$1:$A$18)))</f>
        <v>1.3214285714285714</v>
      </c>
      <c r="C288" s="42">
        <f ca="1">Inputs!$B$2/B288</f>
        <v>169.51351351351352</v>
      </c>
      <c r="D288" s="43">
        <f ca="1">WORKDAY(Inputs!$B$3, ROUND(C288, 0),Sheet2!$A$2:$A$21)</f>
        <v>46266</v>
      </c>
    </row>
    <row r="289" spans="1:4" x14ac:dyDescent="0.25">
      <c r="A289" s="42">
        <f t="shared" si="6"/>
        <v>288</v>
      </c>
      <c r="B289" s="42" cm="1">
        <f t="array" aca="1" ref="B289" ca="1">INDEX(Historical!$A$1:$A$18, RANDBETWEEN(1, COUNTA(Historical!$A$1:$A$18)))</f>
        <v>1.4137931034482758</v>
      </c>
      <c r="C289" s="42">
        <f ca="1">Inputs!$B$2/B289</f>
        <v>158.4390243902439</v>
      </c>
      <c r="D289" s="43">
        <f ca="1">WORKDAY(Inputs!$B$3, ROUND(C289, 0),Sheet2!$A$2:$A$21)</f>
        <v>46248</v>
      </c>
    </row>
    <row r="290" spans="1:4" x14ac:dyDescent="0.25">
      <c r="A290" s="42">
        <f t="shared" si="6"/>
        <v>289</v>
      </c>
      <c r="B290" s="42" cm="1">
        <f t="array" aca="1" ref="B290" ca="1">INDEX(Historical!$A$1:$A$18, RANDBETWEEN(1, COUNTA(Historical!$A$1:$A$18)))</f>
        <v>1.290909090909091</v>
      </c>
      <c r="C290" s="42">
        <f ca="1">Inputs!$B$2/B290</f>
        <v>173.52112676056336</v>
      </c>
      <c r="D290" s="43">
        <f ca="1">WORKDAY(Inputs!$B$3, ROUND(C290, 0),Sheet2!$A$2:$A$21)</f>
        <v>46273</v>
      </c>
    </row>
    <row r="291" spans="1:4" x14ac:dyDescent="0.25">
      <c r="A291" s="42">
        <f t="shared" si="6"/>
        <v>290</v>
      </c>
      <c r="B291" s="42" cm="1">
        <f t="array" aca="1" ref="B291" ca="1">INDEX(Historical!$A$1:$A$18, RANDBETWEEN(1, COUNTA(Historical!$A$1:$A$18)))</f>
        <v>1.368421052631579</v>
      </c>
      <c r="C291" s="42">
        <f ca="1">Inputs!$B$2/B291</f>
        <v>163.69230769230768</v>
      </c>
      <c r="D291" s="43">
        <f ca="1">WORKDAY(Inputs!$B$3, ROUND(C291, 0),Sheet2!$A$2:$A$21)</f>
        <v>46258</v>
      </c>
    </row>
    <row r="292" spans="1:4" x14ac:dyDescent="0.25">
      <c r="A292" s="42">
        <f t="shared" si="6"/>
        <v>291</v>
      </c>
      <c r="B292" s="42" cm="1">
        <f t="array" aca="1" ref="B292" ca="1">INDEX(Historical!$A$1:$A$18, RANDBETWEEN(1, COUNTA(Historical!$A$1:$A$18)))</f>
        <v>1.3559322033898304</v>
      </c>
      <c r="C292" s="42">
        <f ca="1">Inputs!$B$2/B292</f>
        <v>165.20000000000002</v>
      </c>
      <c r="D292" s="43">
        <f ca="1">WORKDAY(Inputs!$B$3, ROUND(C292, 0),Sheet2!$A$2:$A$21)</f>
        <v>46259</v>
      </c>
    </row>
    <row r="293" spans="1:4" x14ac:dyDescent="0.25">
      <c r="A293" s="42">
        <f t="shared" si="6"/>
        <v>292</v>
      </c>
      <c r="B293" s="42" cm="1">
        <f t="array" aca="1" ref="B293" ca="1">INDEX(Historical!$A$1:$A$18, RANDBETWEEN(1, COUNTA(Historical!$A$1:$A$18)))</f>
        <v>1.3157894736842106</v>
      </c>
      <c r="C293" s="42">
        <f ca="1">Inputs!$B$2/B293</f>
        <v>170.23999999999998</v>
      </c>
      <c r="D293" s="43">
        <f ca="1">WORKDAY(Inputs!$B$3, ROUND(C293, 0),Sheet2!$A$2:$A$21)</f>
        <v>46266</v>
      </c>
    </row>
    <row r="294" spans="1:4" x14ac:dyDescent="0.25">
      <c r="A294" s="42">
        <f t="shared" si="6"/>
        <v>293</v>
      </c>
      <c r="B294" s="42" cm="1">
        <f t="array" aca="1" ref="B294" ca="1">INDEX(Historical!$A$1:$A$18, RANDBETWEEN(1, COUNTA(Historical!$A$1:$A$18)))</f>
        <v>1.4347826086956521</v>
      </c>
      <c r="C294" s="42">
        <f ca="1">Inputs!$B$2/B294</f>
        <v>156.12121212121212</v>
      </c>
      <c r="D294" s="43">
        <f ca="1">WORKDAY(Inputs!$B$3, ROUND(C294, 0),Sheet2!$A$2:$A$21)</f>
        <v>46246</v>
      </c>
    </row>
    <row r="295" spans="1:4" x14ac:dyDescent="0.25">
      <c r="A295" s="42">
        <f t="shared" si="6"/>
        <v>294</v>
      </c>
      <c r="B295" s="42" cm="1">
        <f t="array" aca="1" ref="B295" ca="1">INDEX(Historical!$A$1:$A$18, RANDBETWEEN(1, COUNTA(Historical!$A$1:$A$18)))</f>
        <v>1.3707865168539326</v>
      </c>
      <c r="C295" s="42">
        <f ca="1">Inputs!$B$2/B295</f>
        <v>163.40983606557376</v>
      </c>
      <c r="D295" s="43">
        <f ca="1">WORKDAY(Inputs!$B$3, ROUND(C295, 0),Sheet2!$A$2:$A$21)</f>
        <v>46255</v>
      </c>
    </row>
    <row r="296" spans="1:4" x14ac:dyDescent="0.25">
      <c r="A296" s="42">
        <f t="shared" si="6"/>
        <v>295</v>
      </c>
      <c r="B296" s="42" cm="1">
        <f t="array" aca="1" ref="B296" ca="1">INDEX(Historical!$A$1:$A$18, RANDBETWEEN(1, COUNTA(Historical!$A$1:$A$18)))</f>
        <v>1.4761904761904763</v>
      </c>
      <c r="C296" s="42">
        <f ca="1">Inputs!$B$2/B296</f>
        <v>151.74193548387095</v>
      </c>
      <c r="D296" s="43">
        <f ca="1">WORKDAY(Inputs!$B$3, ROUND(C296, 0),Sheet2!$A$2:$A$21)</f>
        <v>46240</v>
      </c>
    </row>
    <row r="297" spans="1:4" x14ac:dyDescent="0.25">
      <c r="A297" s="42">
        <f t="shared" si="6"/>
        <v>296</v>
      </c>
      <c r="B297" s="42" cm="1">
        <f t="array" aca="1" ref="B297" ca="1">INDEX(Historical!$A$1:$A$18, RANDBETWEEN(1, COUNTA(Historical!$A$1:$A$18)))</f>
        <v>1.2941176470588236</v>
      </c>
      <c r="C297" s="42">
        <f ca="1">Inputs!$B$2/B297</f>
        <v>173.09090909090909</v>
      </c>
      <c r="D297" s="43">
        <f ca="1">WORKDAY(Inputs!$B$3, ROUND(C297, 0),Sheet2!$A$2:$A$21)</f>
        <v>46269</v>
      </c>
    </row>
    <row r="298" spans="1:4" x14ac:dyDescent="0.25">
      <c r="A298" s="42">
        <f t="shared" si="6"/>
        <v>297</v>
      </c>
      <c r="B298" s="42" cm="1">
        <f t="array" aca="1" ref="B298" ca="1">INDEX(Historical!$A$1:$A$18, RANDBETWEEN(1, COUNTA(Historical!$A$1:$A$18)))</f>
        <v>1.4347826086956521</v>
      </c>
      <c r="C298" s="42">
        <f ca="1">Inputs!$B$2/B298</f>
        <v>156.12121212121212</v>
      </c>
      <c r="D298" s="43">
        <f ca="1">WORKDAY(Inputs!$B$3, ROUND(C298, 0),Sheet2!$A$2:$A$21)</f>
        <v>46246</v>
      </c>
    </row>
    <row r="299" spans="1:4" x14ac:dyDescent="0.25">
      <c r="A299" s="42">
        <f t="shared" si="6"/>
        <v>298</v>
      </c>
      <c r="B299" s="42" cm="1">
        <f t="array" aca="1" ref="B299" ca="1">INDEX(Historical!$A$1:$A$18, RANDBETWEEN(1, COUNTA(Historical!$A$1:$A$18)))</f>
        <v>1.4761904761904763</v>
      </c>
      <c r="C299" s="42">
        <f ca="1">Inputs!$B$2/B299</f>
        <v>151.74193548387095</v>
      </c>
      <c r="D299" s="43">
        <f ca="1">WORKDAY(Inputs!$B$3, ROUND(C299, 0),Sheet2!$A$2:$A$21)</f>
        <v>46240</v>
      </c>
    </row>
    <row r="300" spans="1:4" x14ac:dyDescent="0.25">
      <c r="A300" s="42">
        <f t="shared" si="6"/>
        <v>299</v>
      </c>
      <c r="B300" s="42" cm="1">
        <f t="array" aca="1" ref="B300" ca="1">INDEX(Historical!$A$1:$A$18, RANDBETWEEN(1, COUNTA(Historical!$A$1:$A$18)))</f>
        <v>1.2941176470588236</v>
      </c>
      <c r="C300" s="42">
        <f ca="1">Inputs!$B$2/B300</f>
        <v>173.09090909090909</v>
      </c>
      <c r="D300" s="43">
        <f ca="1">WORKDAY(Inputs!$B$3, ROUND(C300, 0),Sheet2!$A$2:$A$21)</f>
        <v>46269</v>
      </c>
    </row>
    <row r="301" spans="1:4" x14ac:dyDescent="0.25">
      <c r="A301" s="42">
        <f t="shared" si="6"/>
        <v>300</v>
      </c>
      <c r="B301" s="42" cm="1">
        <f t="array" aca="1" ref="B301" ca="1">INDEX(Historical!$A$1:$A$18, RANDBETWEEN(1, COUNTA(Historical!$A$1:$A$18)))</f>
        <v>1.3617021276595744</v>
      </c>
      <c r="C301" s="42">
        <f ca="1">Inputs!$B$2/B301</f>
        <v>164.5</v>
      </c>
      <c r="D301" s="43">
        <f ca="1">WORKDAY(Inputs!$B$3, ROUND(C301, 0),Sheet2!$A$2:$A$21)</f>
        <v>46259</v>
      </c>
    </row>
    <row r="302" spans="1:4" x14ac:dyDescent="0.25">
      <c r="A302" s="42">
        <f t="shared" si="6"/>
        <v>301</v>
      </c>
      <c r="B302" s="42" cm="1">
        <f t="array" aca="1" ref="B302" ca="1">INDEX(Historical!$A$1:$A$18, RANDBETWEEN(1, COUNTA(Historical!$A$1:$A$18)))</f>
        <v>1.2941176470588236</v>
      </c>
      <c r="C302" s="42">
        <f ca="1">Inputs!$B$2/B302</f>
        <v>173.09090909090909</v>
      </c>
      <c r="D302" s="43">
        <f ca="1">WORKDAY(Inputs!$B$3, ROUND(C302, 0),Sheet2!$A$2:$A$21)</f>
        <v>46269</v>
      </c>
    </row>
    <row r="303" spans="1:4" x14ac:dyDescent="0.25">
      <c r="A303" s="42">
        <f t="shared" si="6"/>
        <v>302</v>
      </c>
      <c r="B303" s="42" cm="1">
        <f t="array" aca="1" ref="B303" ca="1">INDEX(Historical!$A$1:$A$18, RANDBETWEEN(1, COUNTA(Historical!$A$1:$A$18)))</f>
        <v>1.375</v>
      </c>
      <c r="C303" s="42">
        <f ca="1">Inputs!$B$2/B303</f>
        <v>162.90909090909091</v>
      </c>
      <c r="D303" s="43">
        <f ca="1">WORKDAY(Inputs!$B$3, ROUND(C303, 0),Sheet2!$A$2:$A$21)</f>
        <v>46255</v>
      </c>
    </row>
    <row r="304" spans="1:4" x14ac:dyDescent="0.25">
      <c r="A304" s="42">
        <f t="shared" si="6"/>
        <v>303</v>
      </c>
      <c r="B304" s="42" cm="1">
        <f t="array" aca="1" ref="B304" ca="1">INDEX(Historical!$A$1:$A$18, RANDBETWEEN(1, COUNTA(Historical!$A$1:$A$18)))</f>
        <v>1.3157894736842106</v>
      </c>
      <c r="C304" s="42">
        <f ca="1">Inputs!$B$2/B304</f>
        <v>170.23999999999998</v>
      </c>
      <c r="D304" s="43">
        <f ca="1">WORKDAY(Inputs!$B$3, ROUND(C304, 0),Sheet2!$A$2:$A$21)</f>
        <v>46266</v>
      </c>
    </row>
    <row r="305" spans="1:4" x14ac:dyDescent="0.25">
      <c r="A305" s="42">
        <f t="shared" si="6"/>
        <v>304</v>
      </c>
      <c r="B305" s="42" cm="1">
        <f t="array" aca="1" ref="B305" ca="1">INDEX(Historical!$A$1:$A$18, RANDBETWEEN(1, COUNTA(Historical!$A$1:$A$18)))</f>
        <v>1.3157894736842106</v>
      </c>
      <c r="C305" s="42">
        <f ca="1">Inputs!$B$2/B305</f>
        <v>170.23999999999998</v>
      </c>
      <c r="D305" s="43">
        <f ca="1">WORKDAY(Inputs!$B$3, ROUND(C305, 0),Sheet2!$A$2:$A$21)</f>
        <v>46266</v>
      </c>
    </row>
    <row r="306" spans="1:4" x14ac:dyDescent="0.25">
      <c r="A306" s="42">
        <f t="shared" si="6"/>
        <v>305</v>
      </c>
      <c r="B306" s="42" cm="1">
        <f t="array" aca="1" ref="B306" ca="1">INDEX(Historical!$A$1:$A$18, RANDBETWEEN(1, COUNTA(Historical!$A$1:$A$18)))</f>
        <v>1.3707865168539326</v>
      </c>
      <c r="C306" s="42">
        <f ca="1">Inputs!$B$2/B306</f>
        <v>163.40983606557376</v>
      </c>
      <c r="D306" s="43">
        <f ca="1">WORKDAY(Inputs!$B$3, ROUND(C306, 0),Sheet2!$A$2:$A$21)</f>
        <v>46255</v>
      </c>
    </row>
    <row r="307" spans="1:4" x14ac:dyDescent="0.25">
      <c r="A307" s="42">
        <f t="shared" si="6"/>
        <v>306</v>
      </c>
      <c r="B307" s="42" cm="1">
        <f t="array" aca="1" ref="B307" ca="1">INDEX(Historical!$A$1:$A$18, RANDBETWEEN(1, COUNTA(Historical!$A$1:$A$18)))</f>
        <v>1.4347826086956521</v>
      </c>
      <c r="C307" s="42">
        <f ca="1">Inputs!$B$2/B307</f>
        <v>156.12121212121212</v>
      </c>
      <c r="D307" s="43">
        <f ca="1">WORKDAY(Inputs!$B$3, ROUND(C307, 0),Sheet2!$A$2:$A$21)</f>
        <v>46246</v>
      </c>
    </row>
    <row r="308" spans="1:4" x14ac:dyDescent="0.25">
      <c r="A308" s="42">
        <f t="shared" si="6"/>
        <v>307</v>
      </c>
      <c r="B308" s="42" cm="1">
        <f t="array" aca="1" ref="B308" ca="1">INDEX(Historical!$A$1:$A$18, RANDBETWEEN(1, COUNTA(Historical!$A$1:$A$18)))</f>
        <v>1.3214285714285714</v>
      </c>
      <c r="C308" s="42">
        <f ca="1">Inputs!$B$2/B308</f>
        <v>169.51351351351352</v>
      </c>
      <c r="D308" s="43">
        <f ca="1">WORKDAY(Inputs!$B$3, ROUND(C308, 0),Sheet2!$A$2:$A$21)</f>
        <v>46266</v>
      </c>
    </row>
    <row r="309" spans="1:4" x14ac:dyDescent="0.25">
      <c r="A309" s="42">
        <f t="shared" si="6"/>
        <v>308</v>
      </c>
      <c r="B309" s="42" cm="1">
        <f t="array" aca="1" ref="B309" ca="1">INDEX(Historical!$A$1:$A$18, RANDBETWEEN(1, COUNTA(Historical!$A$1:$A$18)))</f>
        <v>1.3611111111111112</v>
      </c>
      <c r="C309" s="42">
        <f ca="1">Inputs!$B$2/B309</f>
        <v>164.57142857142856</v>
      </c>
      <c r="D309" s="43">
        <f ca="1">WORKDAY(Inputs!$B$3, ROUND(C309, 0),Sheet2!$A$2:$A$21)</f>
        <v>46259</v>
      </c>
    </row>
    <row r="310" spans="1:4" x14ac:dyDescent="0.25">
      <c r="A310" s="42">
        <f t="shared" si="6"/>
        <v>309</v>
      </c>
      <c r="B310" s="42" cm="1">
        <f t="array" aca="1" ref="B310" ca="1">INDEX(Historical!$A$1:$A$18, RANDBETWEEN(1, COUNTA(Historical!$A$1:$A$18)))</f>
        <v>1.1666666666666667</v>
      </c>
      <c r="C310" s="42">
        <f ca="1">Inputs!$B$2/B310</f>
        <v>192</v>
      </c>
      <c r="D310" s="43">
        <f ca="1">WORKDAY(Inputs!$B$3, ROUND(C310, 0),Sheet2!$A$2:$A$21)</f>
        <v>46297</v>
      </c>
    </row>
    <row r="311" spans="1:4" x14ac:dyDescent="0.25">
      <c r="A311" s="42">
        <f t="shared" si="6"/>
        <v>310</v>
      </c>
      <c r="B311" s="42" cm="1">
        <f t="array" aca="1" ref="B311" ca="1">INDEX(Historical!$A$1:$A$18, RANDBETWEEN(1, COUNTA(Historical!$A$1:$A$18)))</f>
        <v>1.3157894736842106</v>
      </c>
      <c r="C311" s="42">
        <f ca="1">Inputs!$B$2/B311</f>
        <v>170.23999999999998</v>
      </c>
      <c r="D311" s="43">
        <f ca="1">WORKDAY(Inputs!$B$3, ROUND(C311, 0),Sheet2!$A$2:$A$21)</f>
        <v>46266</v>
      </c>
    </row>
    <row r="312" spans="1:4" x14ac:dyDescent="0.25">
      <c r="A312" s="42">
        <f t="shared" si="6"/>
        <v>311</v>
      </c>
      <c r="B312" s="42" cm="1">
        <f t="array" aca="1" ref="B312" ca="1">INDEX(Historical!$A$1:$A$18, RANDBETWEEN(1, COUNTA(Historical!$A$1:$A$18)))</f>
        <v>1.1666666666666667</v>
      </c>
      <c r="C312" s="42">
        <f ca="1">Inputs!$B$2/B312</f>
        <v>192</v>
      </c>
      <c r="D312" s="43">
        <f ca="1">WORKDAY(Inputs!$B$3, ROUND(C312, 0),Sheet2!$A$2:$A$21)</f>
        <v>46297</v>
      </c>
    </row>
    <row r="313" spans="1:4" x14ac:dyDescent="0.25">
      <c r="A313" s="42">
        <f t="shared" si="6"/>
        <v>312</v>
      </c>
      <c r="B313" s="42" cm="1">
        <f t="array" aca="1" ref="B313" ca="1">INDEX(Historical!$A$1:$A$18, RANDBETWEEN(1, COUNTA(Historical!$A$1:$A$18)))</f>
        <v>1.3617021276595744</v>
      </c>
      <c r="C313" s="42">
        <f ca="1">Inputs!$B$2/B313</f>
        <v>164.5</v>
      </c>
      <c r="D313" s="43">
        <f ca="1">WORKDAY(Inputs!$B$3, ROUND(C313, 0),Sheet2!$A$2:$A$21)</f>
        <v>46259</v>
      </c>
    </row>
    <row r="314" spans="1:4" x14ac:dyDescent="0.25">
      <c r="A314" s="42">
        <f t="shared" si="6"/>
        <v>313</v>
      </c>
      <c r="B314" s="42" cm="1">
        <f t="array" aca="1" ref="B314" ca="1">INDEX(Historical!$A$1:$A$18, RANDBETWEEN(1, COUNTA(Historical!$A$1:$A$18)))</f>
        <v>1.3707865168539326</v>
      </c>
      <c r="C314" s="42">
        <f ca="1">Inputs!$B$2/B314</f>
        <v>163.40983606557376</v>
      </c>
      <c r="D314" s="43">
        <f ca="1">WORKDAY(Inputs!$B$3, ROUND(C314, 0),Sheet2!$A$2:$A$21)</f>
        <v>46255</v>
      </c>
    </row>
    <row r="315" spans="1:4" x14ac:dyDescent="0.25">
      <c r="A315" s="42">
        <f t="shared" si="6"/>
        <v>314</v>
      </c>
      <c r="B315" s="42" cm="1">
        <f t="array" aca="1" ref="B315" ca="1">INDEX(Historical!$A$1:$A$18, RANDBETWEEN(1, COUNTA(Historical!$A$1:$A$18)))</f>
        <v>1.3559322033898304</v>
      </c>
      <c r="C315" s="42">
        <f ca="1">Inputs!$B$2/B315</f>
        <v>165.20000000000002</v>
      </c>
      <c r="D315" s="43">
        <f ca="1">WORKDAY(Inputs!$B$3, ROUND(C315, 0),Sheet2!$A$2:$A$21)</f>
        <v>46259</v>
      </c>
    </row>
    <row r="316" spans="1:4" x14ac:dyDescent="0.25">
      <c r="A316" s="42">
        <f t="shared" si="6"/>
        <v>315</v>
      </c>
      <c r="B316" s="42" cm="1">
        <f t="array" aca="1" ref="B316" ca="1">INDEX(Historical!$A$1:$A$18, RANDBETWEEN(1, COUNTA(Historical!$A$1:$A$18)))</f>
        <v>1.4137931034482758</v>
      </c>
      <c r="C316" s="42">
        <f ca="1">Inputs!$B$2/B316</f>
        <v>158.4390243902439</v>
      </c>
      <c r="D316" s="43">
        <f ca="1">WORKDAY(Inputs!$B$3, ROUND(C316, 0),Sheet2!$A$2:$A$21)</f>
        <v>46248</v>
      </c>
    </row>
    <row r="317" spans="1:4" x14ac:dyDescent="0.25">
      <c r="A317" s="42">
        <f t="shared" si="6"/>
        <v>316</v>
      </c>
      <c r="B317" s="42" cm="1">
        <f t="array" aca="1" ref="B317" ca="1">INDEX(Historical!$A$1:$A$18, RANDBETWEEN(1, COUNTA(Historical!$A$1:$A$18)))</f>
        <v>1.3692307692307693</v>
      </c>
      <c r="C317" s="42">
        <f ca="1">Inputs!$B$2/B317</f>
        <v>163.59550561797752</v>
      </c>
      <c r="D317" s="43">
        <f ca="1">WORKDAY(Inputs!$B$3, ROUND(C317, 0),Sheet2!$A$2:$A$21)</f>
        <v>46258</v>
      </c>
    </row>
    <row r="318" spans="1:4" x14ac:dyDescent="0.25">
      <c r="A318" s="42">
        <f t="shared" si="6"/>
        <v>317</v>
      </c>
      <c r="B318" s="42" cm="1">
        <f t="array" aca="1" ref="B318" ca="1">INDEX(Historical!$A$1:$A$18, RANDBETWEEN(1, COUNTA(Historical!$A$1:$A$18)))</f>
        <v>1.3707865168539326</v>
      </c>
      <c r="C318" s="42">
        <f ca="1">Inputs!$B$2/B318</f>
        <v>163.40983606557376</v>
      </c>
      <c r="D318" s="43">
        <f ca="1">WORKDAY(Inputs!$B$3, ROUND(C318, 0),Sheet2!$A$2:$A$21)</f>
        <v>46255</v>
      </c>
    </row>
    <row r="319" spans="1:4" x14ac:dyDescent="0.25">
      <c r="A319" s="42">
        <f t="shared" si="6"/>
        <v>318</v>
      </c>
      <c r="B319" s="42" cm="1">
        <f t="array" aca="1" ref="B319" ca="1">INDEX(Historical!$A$1:$A$18, RANDBETWEEN(1, COUNTA(Historical!$A$1:$A$18)))</f>
        <v>1.3157894736842106</v>
      </c>
      <c r="C319" s="42">
        <f ca="1">Inputs!$B$2/B319</f>
        <v>170.23999999999998</v>
      </c>
      <c r="D319" s="43">
        <f ca="1">WORKDAY(Inputs!$B$3, ROUND(C319, 0),Sheet2!$A$2:$A$21)</f>
        <v>46266</v>
      </c>
    </row>
    <row r="320" spans="1:4" x14ac:dyDescent="0.25">
      <c r="A320" s="42">
        <f t="shared" si="6"/>
        <v>319</v>
      </c>
      <c r="B320" s="42" cm="1">
        <f t="array" aca="1" ref="B320" ca="1">INDEX(Historical!$A$1:$A$18, RANDBETWEEN(1, COUNTA(Historical!$A$1:$A$18)))</f>
        <v>1.3617021276595744</v>
      </c>
      <c r="C320" s="42">
        <f ca="1">Inputs!$B$2/B320</f>
        <v>164.5</v>
      </c>
      <c r="D320" s="43">
        <f ca="1">WORKDAY(Inputs!$B$3, ROUND(C320, 0),Sheet2!$A$2:$A$21)</f>
        <v>46259</v>
      </c>
    </row>
    <row r="321" spans="1:4" x14ac:dyDescent="0.25">
      <c r="A321" s="42">
        <f t="shared" si="6"/>
        <v>320</v>
      </c>
      <c r="B321" s="42" cm="1">
        <f t="array" aca="1" ref="B321" ca="1">INDEX(Historical!$A$1:$A$18, RANDBETWEEN(1, COUNTA(Historical!$A$1:$A$18)))</f>
        <v>1.290909090909091</v>
      </c>
      <c r="C321" s="42">
        <f ca="1">Inputs!$B$2/B321</f>
        <v>173.52112676056336</v>
      </c>
      <c r="D321" s="43">
        <f ca="1">WORKDAY(Inputs!$B$3, ROUND(C321, 0),Sheet2!$A$2:$A$21)</f>
        <v>46273</v>
      </c>
    </row>
    <row r="322" spans="1:4" x14ac:dyDescent="0.25">
      <c r="A322" s="42">
        <f t="shared" si="6"/>
        <v>321</v>
      </c>
      <c r="B322" s="42" cm="1">
        <f t="array" aca="1" ref="B322" ca="1">INDEX(Historical!$A$1:$A$18, RANDBETWEEN(1, COUNTA(Historical!$A$1:$A$18)))</f>
        <v>1.5</v>
      </c>
      <c r="C322" s="42">
        <f ca="1">Inputs!$B$2/B322</f>
        <v>149.33333333333334</v>
      </c>
      <c r="D322" s="43">
        <f ca="1">WORKDAY(Inputs!$B$3, ROUND(C322, 0),Sheet2!$A$2:$A$21)</f>
        <v>46237</v>
      </c>
    </row>
    <row r="323" spans="1:4" x14ac:dyDescent="0.25">
      <c r="A323" s="42">
        <f t="shared" ref="A323:A386" si="7">ROW()-1</f>
        <v>322</v>
      </c>
      <c r="B323" s="42" cm="1">
        <f t="array" aca="1" ref="B323" ca="1">INDEX(Historical!$A$1:$A$18, RANDBETWEEN(1, COUNTA(Historical!$A$1:$A$18)))</f>
        <v>1.368421052631579</v>
      </c>
      <c r="C323" s="42">
        <f ca="1">Inputs!$B$2/B323</f>
        <v>163.69230769230768</v>
      </c>
      <c r="D323" s="43">
        <f ca="1">WORKDAY(Inputs!$B$3, ROUND(C323, 0),Sheet2!$A$2:$A$21)</f>
        <v>46258</v>
      </c>
    </row>
    <row r="324" spans="1:4" x14ac:dyDescent="0.25">
      <c r="A324" s="42">
        <f t="shared" si="7"/>
        <v>323</v>
      </c>
      <c r="B324" s="42" cm="1">
        <f t="array" aca="1" ref="B324" ca="1">INDEX(Historical!$A$1:$A$18, RANDBETWEEN(1, COUNTA(Historical!$A$1:$A$18)))</f>
        <v>1.4038461538461537</v>
      </c>
      <c r="C324" s="42">
        <f ca="1">Inputs!$B$2/B324</f>
        <v>159.56164383561645</v>
      </c>
      <c r="D324" s="43">
        <f ca="1">WORKDAY(Inputs!$B$3, ROUND(C324, 0),Sheet2!$A$2:$A$21)</f>
        <v>46252</v>
      </c>
    </row>
    <row r="325" spans="1:4" x14ac:dyDescent="0.25">
      <c r="A325" s="42">
        <f t="shared" si="7"/>
        <v>324</v>
      </c>
      <c r="B325" s="42" cm="1">
        <f t="array" aca="1" ref="B325" ca="1">INDEX(Historical!$A$1:$A$18, RANDBETWEEN(1, COUNTA(Historical!$A$1:$A$18)))</f>
        <v>1.290909090909091</v>
      </c>
      <c r="C325" s="42">
        <f ca="1">Inputs!$B$2/B325</f>
        <v>173.52112676056336</v>
      </c>
      <c r="D325" s="43">
        <f ca="1">WORKDAY(Inputs!$B$3, ROUND(C325, 0),Sheet2!$A$2:$A$21)</f>
        <v>46273</v>
      </c>
    </row>
    <row r="326" spans="1:4" x14ac:dyDescent="0.25">
      <c r="A326" s="42">
        <f t="shared" si="7"/>
        <v>325</v>
      </c>
      <c r="B326" s="42" cm="1">
        <f t="array" aca="1" ref="B326" ca="1">INDEX(Historical!$A$1:$A$18, RANDBETWEEN(1, COUNTA(Historical!$A$1:$A$18)))</f>
        <v>1.368421052631579</v>
      </c>
      <c r="C326" s="42">
        <f ca="1">Inputs!$B$2/B326</f>
        <v>163.69230769230768</v>
      </c>
      <c r="D326" s="43">
        <f ca="1">WORKDAY(Inputs!$B$3, ROUND(C326, 0),Sheet2!$A$2:$A$21)</f>
        <v>46258</v>
      </c>
    </row>
    <row r="327" spans="1:4" x14ac:dyDescent="0.25">
      <c r="A327" s="42">
        <f t="shared" si="7"/>
        <v>326</v>
      </c>
      <c r="B327" s="42" cm="1">
        <f t="array" aca="1" ref="B327" ca="1">INDEX(Historical!$A$1:$A$18, RANDBETWEEN(1, COUNTA(Historical!$A$1:$A$18)))</f>
        <v>1.2941176470588236</v>
      </c>
      <c r="C327" s="42">
        <f ca="1">Inputs!$B$2/B327</f>
        <v>173.09090909090909</v>
      </c>
      <c r="D327" s="43">
        <f ca="1">WORKDAY(Inputs!$B$3, ROUND(C327, 0),Sheet2!$A$2:$A$21)</f>
        <v>46269</v>
      </c>
    </row>
    <row r="328" spans="1:4" x14ac:dyDescent="0.25">
      <c r="A328" s="42">
        <f t="shared" si="7"/>
        <v>327</v>
      </c>
      <c r="B328" s="42" cm="1">
        <f t="array" aca="1" ref="B328" ca="1">INDEX(Historical!$A$1:$A$18, RANDBETWEEN(1, COUNTA(Historical!$A$1:$A$18)))</f>
        <v>1.4038461538461537</v>
      </c>
      <c r="C328" s="42">
        <f ca="1">Inputs!$B$2/B328</f>
        <v>159.56164383561645</v>
      </c>
      <c r="D328" s="43">
        <f ca="1">WORKDAY(Inputs!$B$3, ROUND(C328, 0),Sheet2!$A$2:$A$21)</f>
        <v>46252</v>
      </c>
    </row>
    <row r="329" spans="1:4" x14ac:dyDescent="0.25">
      <c r="A329" s="42">
        <f t="shared" si="7"/>
        <v>328</v>
      </c>
      <c r="B329" s="42" cm="1">
        <f t="array" aca="1" ref="B329" ca="1">INDEX(Historical!$A$1:$A$18, RANDBETWEEN(1, COUNTA(Historical!$A$1:$A$18)))</f>
        <v>1.3611111111111112</v>
      </c>
      <c r="C329" s="42">
        <f ca="1">Inputs!$B$2/B329</f>
        <v>164.57142857142856</v>
      </c>
      <c r="D329" s="43">
        <f ca="1">WORKDAY(Inputs!$B$3, ROUND(C329, 0),Sheet2!$A$2:$A$21)</f>
        <v>46259</v>
      </c>
    </row>
    <row r="330" spans="1:4" x14ac:dyDescent="0.25">
      <c r="A330" s="42">
        <f t="shared" si="7"/>
        <v>329</v>
      </c>
      <c r="B330" s="42" cm="1">
        <f t="array" aca="1" ref="B330" ca="1">INDEX(Historical!$A$1:$A$18, RANDBETWEEN(1, COUNTA(Historical!$A$1:$A$18)))</f>
        <v>1.3214285714285714</v>
      </c>
      <c r="C330" s="42">
        <f ca="1">Inputs!$B$2/B330</f>
        <v>169.51351351351352</v>
      </c>
      <c r="D330" s="43">
        <f ca="1">WORKDAY(Inputs!$B$3, ROUND(C330, 0),Sheet2!$A$2:$A$21)</f>
        <v>46266</v>
      </c>
    </row>
    <row r="331" spans="1:4" x14ac:dyDescent="0.25">
      <c r="A331" s="42">
        <f t="shared" si="7"/>
        <v>330</v>
      </c>
      <c r="B331" s="42" cm="1">
        <f t="array" aca="1" ref="B331" ca="1">INDEX(Historical!$A$1:$A$18, RANDBETWEEN(1, COUNTA(Historical!$A$1:$A$18)))</f>
        <v>1.3692307692307693</v>
      </c>
      <c r="C331" s="42">
        <f ca="1">Inputs!$B$2/B331</f>
        <v>163.59550561797752</v>
      </c>
      <c r="D331" s="43">
        <f ca="1">WORKDAY(Inputs!$B$3, ROUND(C331, 0),Sheet2!$A$2:$A$21)</f>
        <v>46258</v>
      </c>
    </row>
    <row r="332" spans="1:4" x14ac:dyDescent="0.25">
      <c r="A332" s="42">
        <f t="shared" si="7"/>
        <v>331</v>
      </c>
      <c r="B332" s="42" cm="1">
        <f t="array" aca="1" ref="B332" ca="1">INDEX(Historical!$A$1:$A$18, RANDBETWEEN(1, COUNTA(Historical!$A$1:$A$18)))</f>
        <v>1.1666666666666667</v>
      </c>
      <c r="C332" s="42">
        <f ca="1">Inputs!$B$2/B332</f>
        <v>192</v>
      </c>
      <c r="D332" s="43">
        <f ca="1">WORKDAY(Inputs!$B$3, ROUND(C332, 0),Sheet2!$A$2:$A$21)</f>
        <v>46297</v>
      </c>
    </row>
    <row r="333" spans="1:4" x14ac:dyDescent="0.25">
      <c r="A333" s="42">
        <f t="shared" si="7"/>
        <v>332</v>
      </c>
      <c r="B333" s="42" cm="1">
        <f t="array" aca="1" ref="B333" ca="1">INDEX(Historical!$A$1:$A$18, RANDBETWEEN(1, COUNTA(Historical!$A$1:$A$18)))</f>
        <v>1.290909090909091</v>
      </c>
      <c r="C333" s="42">
        <f ca="1">Inputs!$B$2/B333</f>
        <v>173.52112676056336</v>
      </c>
      <c r="D333" s="43">
        <f ca="1">WORKDAY(Inputs!$B$3, ROUND(C333, 0),Sheet2!$A$2:$A$21)</f>
        <v>46273</v>
      </c>
    </row>
    <row r="334" spans="1:4" x14ac:dyDescent="0.25">
      <c r="A334" s="42">
        <f t="shared" si="7"/>
        <v>333</v>
      </c>
      <c r="B334" s="42" cm="1">
        <f t="array" aca="1" ref="B334" ca="1">INDEX(Historical!$A$1:$A$18, RANDBETWEEN(1, COUNTA(Historical!$A$1:$A$18)))</f>
        <v>1.4137931034482758</v>
      </c>
      <c r="C334" s="42">
        <f ca="1">Inputs!$B$2/B334</f>
        <v>158.4390243902439</v>
      </c>
      <c r="D334" s="43">
        <f ca="1">WORKDAY(Inputs!$B$3, ROUND(C334, 0),Sheet2!$A$2:$A$21)</f>
        <v>46248</v>
      </c>
    </row>
    <row r="335" spans="1:4" x14ac:dyDescent="0.25">
      <c r="A335" s="42">
        <f t="shared" si="7"/>
        <v>334</v>
      </c>
      <c r="B335" s="42" cm="1">
        <f t="array" aca="1" ref="B335" ca="1">INDEX(Historical!$A$1:$A$18, RANDBETWEEN(1, COUNTA(Historical!$A$1:$A$18)))</f>
        <v>1.368421052631579</v>
      </c>
      <c r="C335" s="42">
        <f ca="1">Inputs!$B$2/B335</f>
        <v>163.69230769230768</v>
      </c>
      <c r="D335" s="43">
        <f ca="1">WORKDAY(Inputs!$B$3, ROUND(C335, 0),Sheet2!$A$2:$A$21)</f>
        <v>46258</v>
      </c>
    </row>
    <row r="336" spans="1:4" x14ac:dyDescent="0.25">
      <c r="A336" s="42">
        <f t="shared" si="7"/>
        <v>335</v>
      </c>
      <c r="B336" s="42" cm="1">
        <f t="array" aca="1" ref="B336" ca="1">INDEX(Historical!$A$1:$A$18, RANDBETWEEN(1, COUNTA(Historical!$A$1:$A$18)))</f>
        <v>1.3214285714285714</v>
      </c>
      <c r="C336" s="42">
        <f ca="1">Inputs!$B$2/B336</f>
        <v>169.51351351351352</v>
      </c>
      <c r="D336" s="43">
        <f ca="1">WORKDAY(Inputs!$B$3, ROUND(C336, 0),Sheet2!$A$2:$A$21)</f>
        <v>46266</v>
      </c>
    </row>
    <row r="337" spans="1:4" x14ac:dyDescent="0.25">
      <c r="A337" s="42">
        <f t="shared" si="7"/>
        <v>336</v>
      </c>
      <c r="B337" s="42" cm="1">
        <f t="array" aca="1" ref="B337" ca="1">INDEX(Historical!$A$1:$A$18, RANDBETWEEN(1, COUNTA(Historical!$A$1:$A$18)))</f>
        <v>1.2941176470588236</v>
      </c>
      <c r="C337" s="42">
        <f ca="1">Inputs!$B$2/B337</f>
        <v>173.09090909090909</v>
      </c>
      <c r="D337" s="43">
        <f ca="1">WORKDAY(Inputs!$B$3, ROUND(C337, 0),Sheet2!$A$2:$A$21)</f>
        <v>46269</v>
      </c>
    </row>
    <row r="338" spans="1:4" x14ac:dyDescent="0.25">
      <c r="A338" s="42">
        <f t="shared" si="7"/>
        <v>337</v>
      </c>
      <c r="B338" s="42" cm="1">
        <f t="array" aca="1" ref="B338" ca="1">INDEX(Historical!$A$1:$A$18, RANDBETWEEN(1, COUNTA(Historical!$A$1:$A$18)))</f>
        <v>1.4347826086956521</v>
      </c>
      <c r="C338" s="42">
        <f ca="1">Inputs!$B$2/B338</f>
        <v>156.12121212121212</v>
      </c>
      <c r="D338" s="43">
        <f ca="1">WORKDAY(Inputs!$B$3, ROUND(C338, 0),Sheet2!$A$2:$A$21)</f>
        <v>46246</v>
      </c>
    </row>
    <row r="339" spans="1:4" x14ac:dyDescent="0.25">
      <c r="A339" s="42">
        <f t="shared" si="7"/>
        <v>338</v>
      </c>
      <c r="B339" s="42" cm="1">
        <f t="array" aca="1" ref="B339" ca="1">INDEX(Historical!$A$1:$A$18, RANDBETWEEN(1, COUNTA(Historical!$A$1:$A$18)))</f>
        <v>1.3559322033898304</v>
      </c>
      <c r="C339" s="42">
        <f ca="1">Inputs!$B$2/B339</f>
        <v>165.20000000000002</v>
      </c>
      <c r="D339" s="43">
        <f ca="1">WORKDAY(Inputs!$B$3, ROUND(C339, 0),Sheet2!$A$2:$A$21)</f>
        <v>46259</v>
      </c>
    </row>
    <row r="340" spans="1:4" x14ac:dyDescent="0.25">
      <c r="A340" s="42">
        <f t="shared" si="7"/>
        <v>339</v>
      </c>
      <c r="B340" s="42" cm="1">
        <f t="array" aca="1" ref="B340" ca="1">INDEX(Historical!$A$1:$A$18, RANDBETWEEN(1, COUNTA(Historical!$A$1:$A$18)))</f>
        <v>1.3707865168539326</v>
      </c>
      <c r="C340" s="42">
        <f ca="1">Inputs!$B$2/B340</f>
        <v>163.40983606557376</v>
      </c>
      <c r="D340" s="43">
        <f ca="1">WORKDAY(Inputs!$B$3, ROUND(C340, 0),Sheet2!$A$2:$A$21)</f>
        <v>46255</v>
      </c>
    </row>
    <row r="341" spans="1:4" x14ac:dyDescent="0.25">
      <c r="A341" s="42">
        <f t="shared" si="7"/>
        <v>340</v>
      </c>
      <c r="B341" s="42" cm="1">
        <f t="array" aca="1" ref="B341" ca="1">INDEX(Historical!$A$1:$A$18, RANDBETWEEN(1, COUNTA(Historical!$A$1:$A$18)))</f>
        <v>1.4347826086956521</v>
      </c>
      <c r="C341" s="42">
        <f ca="1">Inputs!$B$2/B341</f>
        <v>156.12121212121212</v>
      </c>
      <c r="D341" s="43">
        <f ca="1">WORKDAY(Inputs!$B$3, ROUND(C341, 0),Sheet2!$A$2:$A$21)</f>
        <v>46246</v>
      </c>
    </row>
    <row r="342" spans="1:4" x14ac:dyDescent="0.25">
      <c r="A342" s="42">
        <f t="shared" si="7"/>
        <v>341</v>
      </c>
      <c r="B342" s="42" cm="1">
        <f t="array" aca="1" ref="B342" ca="1">INDEX(Historical!$A$1:$A$18, RANDBETWEEN(1, COUNTA(Historical!$A$1:$A$18)))</f>
        <v>1.4347826086956521</v>
      </c>
      <c r="C342" s="42">
        <f ca="1">Inputs!$B$2/B342</f>
        <v>156.12121212121212</v>
      </c>
      <c r="D342" s="43">
        <f ca="1">WORKDAY(Inputs!$B$3, ROUND(C342, 0),Sheet2!$A$2:$A$21)</f>
        <v>46246</v>
      </c>
    </row>
    <row r="343" spans="1:4" x14ac:dyDescent="0.25">
      <c r="A343" s="42">
        <f t="shared" si="7"/>
        <v>342</v>
      </c>
      <c r="B343" s="42" cm="1">
        <f t="array" aca="1" ref="B343" ca="1">INDEX(Historical!$A$1:$A$18, RANDBETWEEN(1, COUNTA(Historical!$A$1:$A$18)))</f>
        <v>1.3692307692307693</v>
      </c>
      <c r="C343" s="42">
        <f ca="1">Inputs!$B$2/B343</f>
        <v>163.59550561797752</v>
      </c>
      <c r="D343" s="43">
        <f ca="1">WORKDAY(Inputs!$B$3, ROUND(C343, 0),Sheet2!$A$2:$A$21)</f>
        <v>46258</v>
      </c>
    </row>
    <row r="344" spans="1:4" x14ac:dyDescent="0.25">
      <c r="A344" s="42">
        <f t="shared" si="7"/>
        <v>343</v>
      </c>
      <c r="B344" s="42" cm="1">
        <f t="array" aca="1" ref="B344" ca="1">INDEX(Historical!$A$1:$A$18, RANDBETWEEN(1, COUNTA(Historical!$A$1:$A$18)))</f>
        <v>1.3214285714285714</v>
      </c>
      <c r="C344" s="42">
        <f ca="1">Inputs!$B$2/B344</f>
        <v>169.51351351351352</v>
      </c>
      <c r="D344" s="43">
        <f ca="1">WORKDAY(Inputs!$B$3, ROUND(C344, 0),Sheet2!$A$2:$A$21)</f>
        <v>46266</v>
      </c>
    </row>
    <row r="345" spans="1:4" x14ac:dyDescent="0.25">
      <c r="A345" s="42">
        <f t="shared" si="7"/>
        <v>344</v>
      </c>
      <c r="B345" s="42" cm="1">
        <f t="array" aca="1" ref="B345" ca="1">INDEX(Historical!$A$1:$A$18, RANDBETWEEN(1, COUNTA(Historical!$A$1:$A$18)))</f>
        <v>1.3559322033898304</v>
      </c>
      <c r="C345" s="42">
        <f ca="1">Inputs!$B$2/B345</f>
        <v>165.20000000000002</v>
      </c>
      <c r="D345" s="43">
        <f ca="1">WORKDAY(Inputs!$B$3, ROUND(C345, 0),Sheet2!$A$2:$A$21)</f>
        <v>46259</v>
      </c>
    </row>
    <row r="346" spans="1:4" x14ac:dyDescent="0.25">
      <c r="A346" s="42">
        <f t="shared" si="7"/>
        <v>345</v>
      </c>
      <c r="B346" s="42" cm="1">
        <f t="array" aca="1" ref="B346" ca="1">INDEX(Historical!$A$1:$A$18, RANDBETWEEN(1, COUNTA(Historical!$A$1:$A$18)))</f>
        <v>1.3617021276595744</v>
      </c>
      <c r="C346" s="42">
        <f ca="1">Inputs!$B$2/B346</f>
        <v>164.5</v>
      </c>
      <c r="D346" s="43">
        <f ca="1">WORKDAY(Inputs!$B$3, ROUND(C346, 0),Sheet2!$A$2:$A$21)</f>
        <v>46259</v>
      </c>
    </row>
    <row r="347" spans="1:4" x14ac:dyDescent="0.25">
      <c r="A347" s="42">
        <f t="shared" si="7"/>
        <v>346</v>
      </c>
      <c r="B347" s="42" cm="1">
        <f t="array" aca="1" ref="B347" ca="1">INDEX(Historical!$A$1:$A$18, RANDBETWEEN(1, COUNTA(Historical!$A$1:$A$18)))</f>
        <v>1.3707865168539326</v>
      </c>
      <c r="C347" s="42">
        <f ca="1">Inputs!$B$2/B347</f>
        <v>163.40983606557376</v>
      </c>
      <c r="D347" s="43">
        <f ca="1">WORKDAY(Inputs!$B$3, ROUND(C347, 0),Sheet2!$A$2:$A$21)</f>
        <v>46255</v>
      </c>
    </row>
    <row r="348" spans="1:4" x14ac:dyDescent="0.25">
      <c r="A348" s="42">
        <f t="shared" si="7"/>
        <v>347</v>
      </c>
      <c r="B348" s="42" cm="1">
        <f t="array" aca="1" ref="B348" ca="1">INDEX(Historical!$A$1:$A$18, RANDBETWEEN(1, COUNTA(Historical!$A$1:$A$18)))</f>
        <v>1.5</v>
      </c>
      <c r="C348" s="42">
        <f ca="1">Inputs!$B$2/B348</f>
        <v>149.33333333333334</v>
      </c>
      <c r="D348" s="43">
        <f ca="1">WORKDAY(Inputs!$B$3, ROUND(C348, 0),Sheet2!$A$2:$A$21)</f>
        <v>46237</v>
      </c>
    </row>
    <row r="349" spans="1:4" x14ac:dyDescent="0.25">
      <c r="A349" s="42">
        <f t="shared" si="7"/>
        <v>348</v>
      </c>
      <c r="B349" s="42" cm="1">
        <f t="array" aca="1" ref="B349" ca="1">INDEX(Historical!$A$1:$A$18, RANDBETWEEN(1, COUNTA(Historical!$A$1:$A$18)))</f>
        <v>1.290909090909091</v>
      </c>
      <c r="C349" s="42">
        <f ca="1">Inputs!$B$2/B349</f>
        <v>173.52112676056336</v>
      </c>
      <c r="D349" s="43">
        <f ca="1">WORKDAY(Inputs!$B$3, ROUND(C349, 0),Sheet2!$A$2:$A$21)</f>
        <v>46273</v>
      </c>
    </row>
    <row r="350" spans="1:4" x14ac:dyDescent="0.25">
      <c r="A350" s="42">
        <f t="shared" si="7"/>
        <v>349</v>
      </c>
      <c r="B350" s="42" cm="1">
        <f t="array" aca="1" ref="B350" ca="1">INDEX(Historical!$A$1:$A$18, RANDBETWEEN(1, COUNTA(Historical!$A$1:$A$18)))</f>
        <v>1.1666666666666667</v>
      </c>
      <c r="C350" s="42">
        <f ca="1">Inputs!$B$2/B350</f>
        <v>192</v>
      </c>
      <c r="D350" s="43">
        <f ca="1">WORKDAY(Inputs!$B$3, ROUND(C350, 0),Sheet2!$A$2:$A$21)</f>
        <v>46297</v>
      </c>
    </row>
    <row r="351" spans="1:4" x14ac:dyDescent="0.25">
      <c r="A351" s="42">
        <f t="shared" si="7"/>
        <v>350</v>
      </c>
      <c r="B351" s="42" cm="1">
        <f t="array" aca="1" ref="B351" ca="1">INDEX(Historical!$A$1:$A$18, RANDBETWEEN(1, COUNTA(Historical!$A$1:$A$18)))</f>
        <v>1.3559322033898304</v>
      </c>
      <c r="C351" s="42">
        <f ca="1">Inputs!$B$2/B351</f>
        <v>165.20000000000002</v>
      </c>
      <c r="D351" s="43">
        <f ca="1">WORKDAY(Inputs!$B$3, ROUND(C351, 0),Sheet2!$A$2:$A$21)</f>
        <v>46259</v>
      </c>
    </row>
    <row r="352" spans="1:4" x14ac:dyDescent="0.25">
      <c r="A352" s="42">
        <f t="shared" si="7"/>
        <v>351</v>
      </c>
      <c r="B352" s="42" cm="1">
        <f t="array" aca="1" ref="B352" ca="1">INDEX(Historical!$A$1:$A$18, RANDBETWEEN(1, COUNTA(Historical!$A$1:$A$18)))</f>
        <v>1.3559322033898304</v>
      </c>
      <c r="C352" s="42">
        <f ca="1">Inputs!$B$2/B352</f>
        <v>165.20000000000002</v>
      </c>
      <c r="D352" s="43">
        <f ca="1">WORKDAY(Inputs!$B$3, ROUND(C352, 0),Sheet2!$A$2:$A$21)</f>
        <v>46259</v>
      </c>
    </row>
    <row r="353" spans="1:4" x14ac:dyDescent="0.25">
      <c r="A353" s="42">
        <f t="shared" si="7"/>
        <v>352</v>
      </c>
      <c r="B353" s="42" cm="1">
        <f t="array" aca="1" ref="B353" ca="1">INDEX(Historical!$A$1:$A$18, RANDBETWEEN(1, COUNTA(Historical!$A$1:$A$18)))</f>
        <v>1.3692307692307693</v>
      </c>
      <c r="C353" s="42">
        <f ca="1">Inputs!$B$2/B353</f>
        <v>163.59550561797752</v>
      </c>
      <c r="D353" s="43">
        <f ca="1">WORKDAY(Inputs!$B$3, ROUND(C353, 0),Sheet2!$A$2:$A$21)</f>
        <v>46258</v>
      </c>
    </row>
    <row r="354" spans="1:4" x14ac:dyDescent="0.25">
      <c r="A354" s="42">
        <f t="shared" si="7"/>
        <v>353</v>
      </c>
      <c r="B354" s="42" cm="1">
        <f t="array" aca="1" ref="B354" ca="1">INDEX(Historical!$A$1:$A$18, RANDBETWEEN(1, COUNTA(Historical!$A$1:$A$18)))</f>
        <v>1.3617021276595744</v>
      </c>
      <c r="C354" s="42">
        <f ca="1">Inputs!$B$2/B354</f>
        <v>164.5</v>
      </c>
      <c r="D354" s="43">
        <f ca="1">WORKDAY(Inputs!$B$3, ROUND(C354, 0),Sheet2!$A$2:$A$21)</f>
        <v>46259</v>
      </c>
    </row>
    <row r="355" spans="1:4" x14ac:dyDescent="0.25">
      <c r="A355" s="42">
        <f t="shared" si="7"/>
        <v>354</v>
      </c>
      <c r="B355" s="42" cm="1">
        <f t="array" aca="1" ref="B355" ca="1">INDEX(Historical!$A$1:$A$18, RANDBETWEEN(1, COUNTA(Historical!$A$1:$A$18)))</f>
        <v>1.4761904761904763</v>
      </c>
      <c r="C355" s="42">
        <f ca="1">Inputs!$B$2/B355</f>
        <v>151.74193548387095</v>
      </c>
      <c r="D355" s="43">
        <f ca="1">WORKDAY(Inputs!$B$3, ROUND(C355, 0),Sheet2!$A$2:$A$21)</f>
        <v>46240</v>
      </c>
    </row>
    <row r="356" spans="1:4" x14ac:dyDescent="0.25">
      <c r="A356" s="42">
        <f t="shared" si="7"/>
        <v>355</v>
      </c>
      <c r="B356" s="42" cm="1">
        <f t="array" aca="1" ref="B356" ca="1">INDEX(Historical!$A$1:$A$18, RANDBETWEEN(1, COUNTA(Historical!$A$1:$A$18)))</f>
        <v>1.3157894736842106</v>
      </c>
      <c r="C356" s="42">
        <f ca="1">Inputs!$B$2/B356</f>
        <v>170.23999999999998</v>
      </c>
      <c r="D356" s="43">
        <f ca="1">WORKDAY(Inputs!$B$3, ROUND(C356, 0),Sheet2!$A$2:$A$21)</f>
        <v>46266</v>
      </c>
    </row>
    <row r="357" spans="1:4" x14ac:dyDescent="0.25">
      <c r="A357" s="42">
        <f t="shared" si="7"/>
        <v>356</v>
      </c>
      <c r="B357" s="42" cm="1">
        <f t="array" aca="1" ref="B357" ca="1">INDEX(Historical!$A$1:$A$18, RANDBETWEEN(1, COUNTA(Historical!$A$1:$A$18)))</f>
        <v>1.368421052631579</v>
      </c>
      <c r="C357" s="42">
        <f ca="1">Inputs!$B$2/B357</f>
        <v>163.69230769230768</v>
      </c>
      <c r="D357" s="43">
        <f ca="1">WORKDAY(Inputs!$B$3, ROUND(C357, 0),Sheet2!$A$2:$A$21)</f>
        <v>46258</v>
      </c>
    </row>
    <row r="358" spans="1:4" x14ac:dyDescent="0.25">
      <c r="A358" s="42">
        <f t="shared" si="7"/>
        <v>357</v>
      </c>
      <c r="B358" s="42" cm="1">
        <f t="array" aca="1" ref="B358" ca="1">INDEX(Historical!$A$1:$A$18, RANDBETWEEN(1, COUNTA(Historical!$A$1:$A$18)))</f>
        <v>1.3559322033898304</v>
      </c>
      <c r="C358" s="42">
        <f ca="1">Inputs!$B$2/B358</f>
        <v>165.20000000000002</v>
      </c>
      <c r="D358" s="43">
        <f ca="1">WORKDAY(Inputs!$B$3, ROUND(C358, 0),Sheet2!$A$2:$A$21)</f>
        <v>46259</v>
      </c>
    </row>
    <row r="359" spans="1:4" x14ac:dyDescent="0.25">
      <c r="A359" s="42">
        <f t="shared" si="7"/>
        <v>358</v>
      </c>
      <c r="B359" s="42" cm="1">
        <f t="array" aca="1" ref="B359" ca="1">INDEX(Historical!$A$1:$A$18, RANDBETWEEN(1, COUNTA(Historical!$A$1:$A$18)))</f>
        <v>1.3611111111111112</v>
      </c>
      <c r="C359" s="42">
        <f ca="1">Inputs!$B$2/B359</f>
        <v>164.57142857142856</v>
      </c>
      <c r="D359" s="43">
        <f ca="1">WORKDAY(Inputs!$B$3, ROUND(C359, 0),Sheet2!$A$2:$A$21)</f>
        <v>46259</v>
      </c>
    </row>
    <row r="360" spans="1:4" x14ac:dyDescent="0.25">
      <c r="A360" s="42">
        <f t="shared" si="7"/>
        <v>359</v>
      </c>
      <c r="B360" s="42" cm="1">
        <f t="array" aca="1" ref="B360" ca="1">INDEX(Historical!$A$1:$A$18, RANDBETWEEN(1, COUNTA(Historical!$A$1:$A$18)))</f>
        <v>1.3559322033898304</v>
      </c>
      <c r="C360" s="42">
        <f ca="1">Inputs!$B$2/B360</f>
        <v>165.20000000000002</v>
      </c>
      <c r="D360" s="43">
        <f ca="1">WORKDAY(Inputs!$B$3, ROUND(C360, 0),Sheet2!$A$2:$A$21)</f>
        <v>46259</v>
      </c>
    </row>
    <row r="361" spans="1:4" x14ac:dyDescent="0.25">
      <c r="A361" s="42">
        <f t="shared" si="7"/>
        <v>360</v>
      </c>
      <c r="B361" s="42" cm="1">
        <f t="array" aca="1" ref="B361" ca="1">INDEX(Historical!$A$1:$A$18, RANDBETWEEN(1, COUNTA(Historical!$A$1:$A$18)))</f>
        <v>1.4761904761904763</v>
      </c>
      <c r="C361" s="42">
        <f ca="1">Inputs!$B$2/B361</f>
        <v>151.74193548387095</v>
      </c>
      <c r="D361" s="43">
        <f ca="1">WORKDAY(Inputs!$B$3, ROUND(C361, 0),Sheet2!$A$2:$A$21)</f>
        <v>46240</v>
      </c>
    </row>
    <row r="362" spans="1:4" x14ac:dyDescent="0.25">
      <c r="A362" s="42">
        <f t="shared" si="7"/>
        <v>361</v>
      </c>
      <c r="B362" s="42" cm="1">
        <f t="array" aca="1" ref="B362" ca="1">INDEX(Historical!$A$1:$A$18, RANDBETWEEN(1, COUNTA(Historical!$A$1:$A$18)))</f>
        <v>1.1666666666666667</v>
      </c>
      <c r="C362" s="42">
        <f ca="1">Inputs!$B$2/B362</f>
        <v>192</v>
      </c>
      <c r="D362" s="43">
        <f ca="1">WORKDAY(Inputs!$B$3, ROUND(C362, 0),Sheet2!$A$2:$A$21)</f>
        <v>46297</v>
      </c>
    </row>
    <row r="363" spans="1:4" x14ac:dyDescent="0.25">
      <c r="A363" s="42">
        <f t="shared" si="7"/>
        <v>362</v>
      </c>
      <c r="B363" s="42" cm="1">
        <f t="array" aca="1" ref="B363" ca="1">INDEX(Historical!$A$1:$A$18, RANDBETWEEN(1, COUNTA(Historical!$A$1:$A$18)))</f>
        <v>1.4137931034482758</v>
      </c>
      <c r="C363" s="42">
        <f ca="1">Inputs!$B$2/B363</f>
        <v>158.4390243902439</v>
      </c>
      <c r="D363" s="43">
        <f ca="1">WORKDAY(Inputs!$B$3, ROUND(C363, 0),Sheet2!$A$2:$A$21)</f>
        <v>46248</v>
      </c>
    </row>
    <row r="364" spans="1:4" x14ac:dyDescent="0.25">
      <c r="A364" s="42">
        <f t="shared" si="7"/>
        <v>363</v>
      </c>
      <c r="B364" s="42" cm="1">
        <f t="array" aca="1" ref="B364" ca="1">INDEX(Historical!$A$1:$A$18, RANDBETWEEN(1, COUNTA(Historical!$A$1:$A$18)))</f>
        <v>1.3692307692307693</v>
      </c>
      <c r="C364" s="42">
        <f ca="1">Inputs!$B$2/B364</f>
        <v>163.59550561797752</v>
      </c>
      <c r="D364" s="43">
        <f ca="1">WORKDAY(Inputs!$B$3, ROUND(C364, 0),Sheet2!$A$2:$A$21)</f>
        <v>46258</v>
      </c>
    </row>
    <row r="365" spans="1:4" x14ac:dyDescent="0.25">
      <c r="A365" s="42">
        <f t="shared" si="7"/>
        <v>364</v>
      </c>
      <c r="B365" s="42" cm="1">
        <f t="array" aca="1" ref="B365" ca="1">INDEX(Historical!$A$1:$A$18, RANDBETWEEN(1, COUNTA(Historical!$A$1:$A$18)))</f>
        <v>1.368421052631579</v>
      </c>
      <c r="C365" s="42">
        <f ca="1">Inputs!$B$2/B365</f>
        <v>163.69230769230768</v>
      </c>
      <c r="D365" s="43">
        <f ca="1">WORKDAY(Inputs!$B$3, ROUND(C365, 0),Sheet2!$A$2:$A$21)</f>
        <v>46258</v>
      </c>
    </row>
    <row r="366" spans="1:4" x14ac:dyDescent="0.25">
      <c r="A366" s="42">
        <f t="shared" si="7"/>
        <v>365</v>
      </c>
      <c r="B366" s="42" cm="1">
        <f t="array" aca="1" ref="B366" ca="1">INDEX(Historical!$A$1:$A$18, RANDBETWEEN(1, COUNTA(Historical!$A$1:$A$18)))</f>
        <v>1.1666666666666667</v>
      </c>
      <c r="C366" s="42">
        <f ca="1">Inputs!$B$2/B366</f>
        <v>192</v>
      </c>
      <c r="D366" s="43">
        <f ca="1">WORKDAY(Inputs!$B$3, ROUND(C366, 0),Sheet2!$A$2:$A$21)</f>
        <v>46297</v>
      </c>
    </row>
    <row r="367" spans="1:4" x14ac:dyDescent="0.25">
      <c r="A367" s="42">
        <f t="shared" si="7"/>
        <v>366</v>
      </c>
      <c r="B367" s="42" cm="1">
        <f t="array" aca="1" ref="B367" ca="1">INDEX(Historical!$A$1:$A$18, RANDBETWEEN(1, COUNTA(Historical!$A$1:$A$18)))</f>
        <v>1.303030303030303</v>
      </c>
      <c r="C367" s="42">
        <f ca="1">Inputs!$B$2/B367</f>
        <v>171.90697674418604</v>
      </c>
      <c r="D367" s="43">
        <f ca="1">WORKDAY(Inputs!$B$3, ROUND(C367, 0),Sheet2!$A$2:$A$21)</f>
        <v>46268</v>
      </c>
    </row>
    <row r="368" spans="1:4" x14ac:dyDescent="0.25">
      <c r="A368" s="42">
        <f t="shared" si="7"/>
        <v>367</v>
      </c>
      <c r="B368" s="42" cm="1">
        <f t="array" aca="1" ref="B368" ca="1">INDEX(Historical!$A$1:$A$18, RANDBETWEEN(1, COUNTA(Historical!$A$1:$A$18)))</f>
        <v>1.3611111111111112</v>
      </c>
      <c r="C368" s="42">
        <f ca="1">Inputs!$B$2/B368</f>
        <v>164.57142857142856</v>
      </c>
      <c r="D368" s="43">
        <f ca="1">WORKDAY(Inputs!$B$3, ROUND(C368, 0),Sheet2!$A$2:$A$21)</f>
        <v>46259</v>
      </c>
    </row>
    <row r="369" spans="1:4" x14ac:dyDescent="0.25">
      <c r="A369" s="42">
        <f t="shared" si="7"/>
        <v>368</v>
      </c>
      <c r="B369" s="42" cm="1">
        <f t="array" aca="1" ref="B369" ca="1">INDEX(Historical!$A$1:$A$18, RANDBETWEEN(1, COUNTA(Historical!$A$1:$A$18)))</f>
        <v>1.3157894736842106</v>
      </c>
      <c r="C369" s="42">
        <f ca="1">Inputs!$B$2/B369</f>
        <v>170.23999999999998</v>
      </c>
      <c r="D369" s="43">
        <f ca="1">WORKDAY(Inputs!$B$3, ROUND(C369, 0),Sheet2!$A$2:$A$21)</f>
        <v>46266</v>
      </c>
    </row>
    <row r="370" spans="1:4" x14ac:dyDescent="0.25">
      <c r="A370" s="42">
        <f t="shared" si="7"/>
        <v>369</v>
      </c>
      <c r="B370" s="42" cm="1">
        <f t="array" aca="1" ref="B370" ca="1">INDEX(Historical!$A$1:$A$18, RANDBETWEEN(1, COUNTA(Historical!$A$1:$A$18)))</f>
        <v>1.3214285714285714</v>
      </c>
      <c r="C370" s="42">
        <f ca="1">Inputs!$B$2/B370</f>
        <v>169.51351351351352</v>
      </c>
      <c r="D370" s="43">
        <f ca="1">WORKDAY(Inputs!$B$3, ROUND(C370, 0),Sheet2!$A$2:$A$21)</f>
        <v>46266</v>
      </c>
    </row>
    <row r="371" spans="1:4" x14ac:dyDescent="0.25">
      <c r="A371" s="42">
        <f t="shared" si="7"/>
        <v>370</v>
      </c>
      <c r="B371" s="42" cm="1">
        <f t="array" aca="1" ref="B371" ca="1">INDEX(Historical!$A$1:$A$18, RANDBETWEEN(1, COUNTA(Historical!$A$1:$A$18)))</f>
        <v>1.3214285714285714</v>
      </c>
      <c r="C371" s="42">
        <f ca="1">Inputs!$B$2/B371</f>
        <v>169.51351351351352</v>
      </c>
      <c r="D371" s="43">
        <f ca="1">WORKDAY(Inputs!$B$3, ROUND(C371, 0),Sheet2!$A$2:$A$21)</f>
        <v>46266</v>
      </c>
    </row>
    <row r="372" spans="1:4" x14ac:dyDescent="0.25">
      <c r="A372" s="42">
        <f t="shared" si="7"/>
        <v>371</v>
      </c>
      <c r="B372" s="42" cm="1">
        <f t="array" aca="1" ref="B372" ca="1">INDEX(Historical!$A$1:$A$18, RANDBETWEEN(1, COUNTA(Historical!$A$1:$A$18)))</f>
        <v>1.3559322033898304</v>
      </c>
      <c r="C372" s="42">
        <f ca="1">Inputs!$B$2/B372</f>
        <v>165.20000000000002</v>
      </c>
      <c r="D372" s="43">
        <f ca="1">WORKDAY(Inputs!$B$3, ROUND(C372, 0),Sheet2!$A$2:$A$21)</f>
        <v>46259</v>
      </c>
    </row>
    <row r="373" spans="1:4" x14ac:dyDescent="0.25">
      <c r="A373" s="42">
        <f t="shared" si="7"/>
        <v>372</v>
      </c>
      <c r="B373" s="42" cm="1">
        <f t="array" aca="1" ref="B373" ca="1">INDEX(Historical!$A$1:$A$18, RANDBETWEEN(1, COUNTA(Historical!$A$1:$A$18)))</f>
        <v>1.5</v>
      </c>
      <c r="C373" s="42">
        <f ca="1">Inputs!$B$2/B373</f>
        <v>149.33333333333334</v>
      </c>
      <c r="D373" s="43">
        <f ca="1">WORKDAY(Inputs!$B$3, ROUND(C373, 0),Sheet2!$A$2:$A$21)</f>
        <v>46237</v>
      </c>
    </row>
    <row r="374" spans="1:4" x14ac:dyDescent="0.25">
      <c r="A374" s="42">
        <f t="shared" si="7"/>
        <v>373</v>
      </c>
      <c r="B374" s="42" cm="1">
        <f t="array" aca="1" ref="B374" ca="1">INDEX(Historical!$A$1:$A$18, RANDBETWEEN(1, COUNTA(Historical!$A$1:$A$18)))</f>
        <v>1.2941176470588236</v>
      </c>
      <c r="C374" s="42">
        <f ca="1">Inputs!$B$2/B374</f>
        <v>173.09090909090909</v>
      </c>
      <c r="D374" s="43">
        <f ca="1">WORKDAY(Inputs!$B$3, ROUND(C374, 0),Sheet2!$A$2:$A$21)</f>
        <v>46269</v>
      </c>
    </row>
    <row r="375" spans="1:4" x14ac:dyDescent="0.25">
      <c r="A375" s="42">
        <f t="shared" si="7"/>
        <v>374</v>
      </c>
      <c r="B375" s="42" cm="1">
        <f t="array" aca="1" ref="B375" ca="1">INDEX(Historical!$A$1:$A$18, RANDBETWEEN(1, COUNTA(Historical!$A$1:$A$18)))</f>
        <v>1.4038461538461537</v>
      </c>
      <c r="C375" s="42">
        <f ca="1">Inputs!$B$2/B375</f>
        <v>159.56164383561645</v>
      </c>
      <c r="D375" s="43">
        <f ca="1">WORKDAY(Inputs!$B$3, ROUND(C375, 0),Sheet2!$A$2:$A$21)</f>
        <v>46252</v>
      </c>
    </row>
    <row r="376" spans="1:4" x14ac:dyDescent="0.25">
      <c r="A376" s="42">
        <f t="shared" si="7"/>
        <v>375</v>
      </c>
      <c r="B376" s="42" cm="1">
        <f t="array" aca="1" ref="B376" ca="1">INDEX(Historical!$A$1:$A$18, RANDBETWEEN(1, COUNTA(Historical!$A$1:$A$18)))</f>
        <v>1.375</v>
      </c>
      <c r="C376" s="42">
        <f ca="1">Inputs!$B$2/B376</f>
        <v>162.90909090909091</v>
      </c>
      <c r="D376" s="43">
        <f ca="1">WORKDAY(Inputs!$B$3, ROUND(C376, 0),Sheet2!$A$2:$A$21)</f>
        <v>46255</v>
      </c>
    </row>
    <row r="377" spans="1:4" x14ac:dyDescent="0.25">
      <c r="A377" s="42">
        <f t="shared" si="7"/>
        <v>376</v>
      </c>
      <c r="B377" s="42" cm="1">
        <f t="array" aca="1" ref="B377" ca="1">INDEX(Historical!$A$1:$A$18, RANDBETWEEN(1, COUNTA(Historical!$A$1:$A$18)))</f>
        <v>1.375</v>
      </c>
      <c r="C377" s="42">
        <f ca="1">Inputs!$B$2/B377</f>
        <v>162.90909090909091</v>
      </c>
      <c r="D377" s="43">
        <f ca="1">WORKDAY(Inputs!$B$3, ROUND(C377, 0),Sheet2!$A$2:$A$21)</f>
        <v>46255</v>
      </c>
    </row>
    <row r="378" spans="1:4" x14ac:dyDescent="0.25">
      <c r="A378" s="42">
        <f t="shared" si="7"/>
        <v>377</v>
      </c>
      <c r="B378" s="42" cm="1">
        <f t="array" aca="1" ref="B378" ca="1">INDEX(Historical!$A$1:$A$18, RANDBETWEEN(1, COUNTA(Historical!$A$1:$A$18)))</f>
        <v>1.3617021276595744</v>
      </c>
      <c r="C378" s="42">
        <f ca="1">Inputs!$B$2/B378</f>
        <v>164.5</v>
      </c>
      <c r="D378" s="43">
        <f ca="1">WORKDAY(Inputs!$B$3, ROUND(C378, 0),Sheet2!$A$2:$A$21)</f>
        <v>46259</v>
      </c>
    </row>
    <row r="379" spans="1:4" x14ac:dyDescent="0.25">
      <c r="A379" s="42">
        <f t="shared" si="7"/>
        <v>378</v>
      </c>
      <c r="B379" s="42" cm="1">
        <f t="array" aca="1" ref="B379" ca="1">INDEX(Historical!$A$1:$A$18, RANDBETWEEN(1, COUNTA(Historical!$A$1:$A$18)))</f>
        <v>1.3707865168539326</v>
      </c>
      <c r="C379" s="42">
        <f ca="1">Inputs!$B$2/B379</f>
        <v>163.40983606557376</v>
      </c>
      <c r="D379" s="43">
        <f ca="1">WORKDAY(Inputs!$B$3, ROUND(C379, 0),Sheet2!$A$2:$A$21)</f>
        <v>46255</v>
      </c>
    </row>
    <row r="380" spans="1:4" x14ac:dyDescent="0.25">
      <c r="A380" s="42">
        <f t="shared" si="7"/>
        <v>379</v>
      </c>
      <c r="B380" s="42" cm="1">
        <f t="array" aca="1" ref="B380" ca="1">INDEX(Historical!$A$1:$A$18, RANDBETWEEN(1, COUNTA(Historical!$A$1:$A$18)))</f>
        <v>1.4137931034482758</v>
      </c>
      <c r="C380" s="42">
        <f ca="1">Inputs!$B$2/B380</f>
        <v>158.4390243902439</v>
      </c>
      <c r="D380" s="43">
        <f ca="1">WORKDAY(Inputs!$B$3, ROUND(C380, 0),Sheet2!$A$2:$A$21)</f>
        <v>46248</v>
      </c>
    </row>
    <row r="381" spans="1:4" x14ac:dyDescent="0.25">
      <c r="A381" s="42">
        <f t="shared" si="7"/>
        <v>380</v>
      </c>
      <c r="B381" s="42" cm="1">
        <f t="array" aca="1" ref="B381" ca="1">INDEX(Historical!$A$1:$A$18, RANDBETWEEN(1, COUNTA(Historical!$A$1:$A$18)))</f>
        <v>1.4137931034482758</v>
      </c>
      <c r="C381" s="42">
        <f ca="1">Inputs!$B$2/B381</f>
        <v>158.4390243902439</v>
      </c>
      <c r="D381" s="43">
        <f ca="1">WORKDAY(Inputs!$B$3, ROUND(C381, 0),Sheet2!$A$2:$A$21)</f>
        <v>46248</v>
      </c>
    </row>
    <row r="382" spans="1:4" x14ac:dyDescent="0.25">
      <c r="A382" s="42">
        <f t="shared" si="7"/>
        <v>381</v>
      </c>
      <c r="B382" s="42" cm="1">
        <f t="array" aca="1" ref="B382" ca="1">INDEX(Historical!$A$1:$A$18, RANDBETWEEN(1, COUNTA(Historical!$A$1:$A$18)))</f>
        <v>1.4347826086956521</v>
      </c>
      <c r="C382" s="42">
        <f ca="1">Inputs!$B$2/B382</f>
        <v>156.12121212121212</v>
      </c>
      <c r="D382" s="43">
        <f ca="1">WORKDAY(Inputs!$B$3, ROUND(C382, 0),Sheet2!$A$2:$A$21)</f>
        <v>46246</v>
      </c>
    </row>
    <row r="383" spans="1:4" x14ac:dyDescent="0.25">
      <c r="A383" s="42">
        <f t="shared" si="7"/>
        <v>382</v>
      </c>
      <c r="B383" s="42" cm="1">
        <f t="array" aca="1" ref="B383" ca="1">INDEX(Historical!$A$1:$A$18, RANDBETWEEN(1, COUNTA(Historical!$A$1:$A$18)))</f>
        <v>1.2941176470588236</v>
      </c>
      <c r="C383" s="42">
        <f ca="1">Inputs!$B$2/B383</f>
        <v>173.09090909090909</v>
      </c>
      <c r="D383" s="43">
        <f ca="1">WORKDAY(Inputs!$B$3, ROUND(C383, 0),Sheet2!$A$2:$A$21)</f>
        <v>46269</v>
      </c>
    </row>
    <row r="384" spans="1:4" x14ac:dyDescent="0.25">
      <c r="A384" s="42">
        <f t="shared" si="7"/>
        <v>383</v>
      </c>
      <c r="B384" s="42" cm="1">
        <f t="array" aca="1" ref="B384" ca="1">INDEX(Historical!$A$1:$A$18, RANDBETWEEN(1, COUNTA(Historical!$A$1:$A$18)))</f>
        <v>1.1666666666666667</v>
      </c>
      <c r="C384" s="42">
        <f ca="1">Inputs!$B$2/B384</f>
        <v>192</v>
      </c>
      <c r="D384" s="43">
        <f ca="1">WORKDAY(Inputs!$B$3, ROUND(C384, 0),Sheet2!$A$2:$A$21)</f>
        <v>46297</v>
      </c>
    </row>
    <row r="385" spans="1:4" x14ac:dyDescent="0.25">
      <c r="A385" s="42">
        <f t="shared" si="7"/>
        <v>384</v>
      </c>
      <c r="B385" s="42" cm="1">
        <f t="array" aca="1" ref="B385" ca="1">INDEX(Historical!$A$1:$A$18, RANDBETWEEN(1, COUNTA(Historical!$A$1:$A$18)))</f>
        <v>1.3707865168539326</v>
      </c>
      <c r="C385" s="42">
        <f ca="1">Inputs!$B$2/B385</f>
        <v>163.40983606557376</v>
      </c>
      <c r="D385" s="43">
        <f ca="1">WORKDAY(Inputs!$B$3, ROUND(C385, 0),Sheet2!$A$2:$A$21)</f>
        <v>46255</v>
      </c>
    </row>
    <row r="386" spans="1:4" x14ac:dyDescent="0.25">
      <c r="A386" s="42">
        <f t="shared" si="7"/>
        <v>385</v>
      </c>
      <c r="B386" s="42" cm="1">
        <f t="array" aca="1" ref="B386" ca="1">INDEX(Historical!$A$1:$A$18, RANDBETWEEN(1, COUNTA(Historical!$A$1:$A$18)))</f>
        <v>1.3559322033898304</v>
      </c>
      <c r="C386" s="42">
        <f ca="1">Inputs!$B$2/B386</f>
        <v>165.20000000000002</v>
      </c>
      <c r="D386" s="43">
        <f ca="1">WORKDAY(Inputs!$B$3, ROUND(C386, 0),Sheet2!$A$2:$A$21)</f>
        <v>46259</v>
      </c>
    </row>
    <row r="387" spans="1:4" x14ac:dyDescent="0.25">
      <c r="A387" s="42">
        <f t="shared" ref="A387:A450" si="8">ROW()-1</f>
        <v>386</v>
      </c>
      <c r="B387" s="42" cm="1">
        <f t="array" aca="1" ref="B387" ca="1">INDEX(Historical!$A$1:$A$18, RANDBETWEEN(1, COUNTA(Historical!$A$1:$A$18)))</f>
        <v>1.4038461538461537</v>
      </c>
      <c r="C387" s="42">
        <f ca="1">Inputs!$B$2/B387</f>
        <v>159.56164383561645</v>
      </c>
      <c r="D387" s="43">
        <f ca="1">WORKDAY(Inputs!$B$3, ROUND(C387, 0),Sheet2!$A$2:$A$21)</f>
        <v>46252</v>
      </c>
    </row>
    <row r="388" spans="1:4" x14ac:dyDescent="0.25">
      <c r="A388" s="42">
        <f t="shared" si="8"/>
        <v>387</v>
      </c>
      <c r="B388" s="42" cm="1">
        <f t="array" aca="1" ref="B388" ca="1">INDEX(Historical!$A$1:$A$18, RANDBETWEEN(1, COUNTA(Historical!$A$1:$A$18)))</f>
        <v>1.4038461538461537</v>
      </c>
      <c r="C388" s="42">
        <f ca="1">Inputs!$B$2/B388</f>
        <v>159.56164383561645</v>
      </c>
      <c r="D388" s="43">
        <f ca="1">WORKDAY(Inputs!$B$3, ROUND(C388, 0),Sheet2!$A$2:$A$21)</f>
        <v>46252</v>
      </c>
    </row>
    <row r="389" spans="1:4" x14ac:dyDescent="0.25">
      <c r="A389" s="42">
        <f t="shared" si="8"/>
        <v>388</v>
      </c>
      <c r="B389" s="42" cm="1">
        <f t="array" aca="1" ref="B389" ca="1">INDEX(Historical!$A$1:$A$18, RANDBETWEEN(1, COUNTA(Historical!$A$1:$A$18)))</f>
        <v>1.3559322033898304</v>
      </c>
      <c r="C389" s="42">
        <f ca="1">Inputs!$B$2/B389</f>
        <v>165.20000000000002</v>
      </c>
      <c r="D389" s="43">
        <f ca="1">WORKDAY(Inputs!$B$3, ROUND(C389, 0),Sheet2!$A$2:$A$21)</f>
        <v>46259</v>
      </c>
    </row>
    <row r="390" spans="1:4" x14ac:dyDescent="0.25">
      <c r="A390" s="42">
        <f t="shared" si="8"/>
        <v>389</v>
      </c>
      <c r="B390" s="42" cm="1">
        <f t="array" aca="1" ref="B390" ca="1">INDEX(Historical!$A$1:$A$18, RANDBETWEEN(1, COUNTA(Historical!$A$1:$A$18)))</f>
        <v>1.2941176470588236</v>
      </c>
      <c r="C390" s="42">
        <f ca="1">Inputs!$B$2/B390</f>
        <v>173.09090909090909</v>
      </c>
      <c r="D390" s="43">
        <f ca="1">WORKDAY(Inputs!$B$3, ROUND(C390, 0),Sheet2!$A$2:$A$21)</f>
        <v>46269</v>
      </c>
    </row>
    <row r="391" spans="1:4" x14ac:dyDescent="0.25">
      <c r="A391" s="42">
        <f t="shared" si="8"/>
        <v>390</v>
      </c>
      <c r="B391" s="42" cm="1">
        <f t="array" aca="1" ref="B391" ca="1">INDEX(Historical!$A$1:$A$18, RANDBETWEEN(1, COUNTA(Historical!$A$1:$A$18)))</f>
        <v>1.3559322033898304</v>
      </c>
      <c r="C391" s="42">
        <f ca="1">Inputs!$B$2/B391</f>
        <v>165.20000000000002</v>
      </c>
      <c r="D391" s="43">
        <f ca="1">WORKDAY(Inputs!$B$3, ROUND(C391, 0),Sheet2!$A$2:$A$21)</f>
        <v>46259</v>
      </c>
    </row>
    <row r="392" spans="1:4" x14ac:dyDescent="0.25">
      <c r="A392" s="42">
        <f t="shared" si="8"/>
        <v>391</v>
      </c>
      <c r="B392" s="42" cm="1">
        <f t="array" aca="1" ref="B392" ca="1">INDEX(Historical!$A$1:$A$18, RANDBETWEEN(1, COUNTA(Historical!$A$1:$A$18)))</f>
        <v>1.4137931034482758</v>
      </c>
      <c r="C392" s="42">
        <f ca="1">Inputs!$B$2/B392</f>
        <v>158.4390243902439</v>
      </c>
      <c r="D392" s="43">
        <f ca="1">WORKDAY(Inputs!$B$3, ROUND(C392, 0),Sheet2!$A$2:$A$21)</f>
        <v>46248</v>
      </c>
    </row>
    <row r="393" spans="1:4" x14ac:dyDescent="0.25">
      <c r="A393" s="42">
        <f t="shared" si="8"/>
        <v>392</v>
      </c>
      <c r="B393" s="42" cm="1">
        <f t="array" aca="1" ref="B393" ca="1">INDEX(Historical!$A$1:$A$18, RANDBETWEEN(1, COUNTA(Historical!$A$1:$A$18)))</f>
        <v>1.2941176470588236</v>
      </c>
      <c r="C393" s="42">
        <f ca="1">Inputs!$B$2/B393</f>
        <v>173.09090909090909</v>
      </c>
      <c r="D393" s="43">
        <f ca="1">WORKDAY(Inputs!$B$3, ROUND(C393, 0),Sheet2!$A$2:$A$21)</f>
        <v>46269</v>
      </c>
    </row>
    <row r="394" spans="1:4" x14ac:dyDescent="0.25">
      <c r="A394" s="42">
        <f t="shared" si="8"/>
        <v>393</v>
      </c>
      <c r="B394" s="42" cm="1">
        <f t="array" aca="1" ref="B394" ca="1">INDEX(Historical!$A$1:$A$18, RANDBETWEEN(1, COUNTA(Historical!$A$1:$A$18)))</f>
        <v>1.3707865168539326</v>
      </c>
      <c r="C394" s="42">
        <f ca="1">Inputs!$B$2/B394</f>
        <v>163.40983606557376</v>
      </c>
      <c r="D394" s="43">
        <f ca="1">WORKDAY(Inputs!$B$3, ROUND(C394, 0),Sheet2!$A$2:$A$21)</f>
        <v>46255</v>
      </c>
    </row>
    <row r="395" spans="1:4" x14ac:dyDescent="0.25">
      <c r="A395" s="42">
        <f t="shared" si="8"/>
        <v>394</v>
      </c>
      <c r="B395" s="42" cm="1">
        <f t="array" aca="1" ref="B395" ca="1">INDEX(Historical!$A$1:$A$18, RANDBETWEEN(1, COUNTA(Historical!$A$1:$A$18)))</f>
        <v>1.4137931034482758</v>
      </c>
      <c r="C395" s="42">
        <f ca="1">Inputs!$B$2/B395</f>
        <v>158.4390243902439</v>
      </c>
      <c r="D395" s="43">
        <f ca="1">WORKDAY(Inputs!$B$3, ROUND(C395, 0),Sheet2!$A$2:$A$21)</f>
        <v>46248</v>
      </c>
    </row>
    <row r="396" spans="1:4" x14ac:dyDescent="0.25">
      <c r="A396" s="42">
        <f t="shared" si="8"/>
        <v>395</v>
      </c>
      <c r="B396" s="42" cm="1">
        <f t="array" aca="1" ref="B396" ca="1">INDEX(Historical!$A$1:$A$18, RANDBETWEEN(1, COUNTA(Historical!$A$1:$A$18)))</f>
        <v>1.4761904761904763</v>
      </c>
      <c r="C396" s="42">
        <f ca="1">Inputs!$B$2/B396</f>
        <v>151.74193548387095</v>
      </c>
      <c r="D396" s="43">
        <f ca="1">WORKDAY(Inputs!$B$3, ROUND(C396, 0),Sheet2!$A$2:$A$21)</f>
        <v>46240</v>
      </c>
    </row>
    <row r="397" spans="1:4" x14ac:dyDescent="0.25">
      <c r="A397" s="42">
        <f t="shared" si="8"/>
        <v>396</v>
      </c>
      <c r="B397" s="42" cm="1">
        <f t="array" aca="1" ref="B397" ca="1">INDEX(Historical!$A$1:$A$18, RANDBETWEEN(1, COUNTA(Historical!$A$1:$A$18)))</f>
        <v>1.3707865168539326</v>
      </c>
      <c r="C397" s="42">
        <f ca="1">Inputs!$B$2/B397</f>
        <v>163.40983606557376</v>
      </c>
      <c r="D397" s="43">
        <f ca="1">WORKDAY(Inputs!$B$3, ROUND(C397, 0),Sheet2!$A$2:$A$21)</f>
        <v>46255</v>
      </c>
    </row>
    <row r="398" spans="1:4" x14ac:dyDescent="0.25">
      <c r="A398" s="42">
        <f t="shared" si="8"/>
        <v>397</v>
      </c>
      <c r="B398" s="42" cm="1">
        <f t="array" aca="1" ref="B398" ca="1">INDEX(Historical!$A$1:$A$18, RANDBETWEEN(1, COUNTA(Historical!$A$1:$A$18)))</f>
        <v>1.3157894736842106</v>
      </c>
      <c r="C398" s="42">
        <f ca="1">Inputs!$B$2/B398</f>
        <v>170.23999999999998</v>
      </c>
      <c r="D398" s="43">
        <f ca="1">WORKDAY(Inputs!$B$3, ROUND(C398, 0),Sheet2!$A$2:$A$21)</f>
        <v>46266</v>
      </c>
    </row>
    <row r="399" spans="1:4" x14ac:dyDescent="0.25">
      <c r="A399" s="42">
        <f t="shared" si="8"/>
        <v>398</v>
      </c>
      <c r="B399" s="42" cm="1">
        <f t="array" aca="1" ref="B399" ca="1">INDEX(Historical!$A$1:$A$18, RANDBETWEEN(1, COUNTA(Historical!$A$1:$A$18)))</f>
        <v>1.4761904761904763</v>
      </c>
      <c r="C399" s="42">
        <f ca="1">Inputs!$B$2/B399</f>
        <v>151.74193548387095</v>
      </c>
      <c r="D399" s="43">
        <f ca="1">WORKDAY(Inputs!$B$3, ROUND(C399, 0),Sheet2!$A$2:$A$21)</f>
        <v>46240</v>
      </c>
    </row>
    <row r="400" spans="1:4" x14ac:dyDescent="0.25">
      <c r="A400" s="42">
        <f t="shared" si="8"/>
        <v>399</v>
      </c>
      <c r="B400" s="42" cm="1">
        <f t="array" aca="1" ref="B400" ca="1">INDEX(Historical!$A$1:$A$18, RANDBETWEEN(1, COUNTA(Historical!$A$1:$A$18)))</f>
        <v>1.303030303030303</v>
      </c>
      <c r="C400" s="42">
        <f ca="1">Inputs!$B$2/B400</f>
        <v>171.90697674418604</v>
      </c>
      <c r="D400" s="43">
        <f ca="1">WORKDAY(Inputs!$B$3, ROUND(C400, 0),Sheet2!$A$2:$A$21)</f>
        <v>46268</v>
      </c>
    </row>
    <row r="401" spans="1:4" x14ac:dyDescent="0.25">
      <c r="A401" s="42">
        <f t="shared" si="8"/>
        <v>400</v>
      </c>
      <c r="B401" s="42" cm="1">
        <f t="array" aca="1" ref="B401" ca="1">INDEX(Historical!$A$1:$A$18, RANDBETWEEN(1, COUNTA(Historical!$A$1:$A$18)))</f>
        <v>1.1666666666666667</v>
      </c>
      <c r="C401" s="42">
        <f ca="1">Inputs!$B$2/B401</f>
        <v>192</v>
      </c>
      <c r="D401" s="43">
        <f ca="1">WORKDAY(Inputs!$B$3, ROUND(C401, 0),Sheet2!$A$2:$A$21)</f>
        <v>46297</v>
      </c>
    </row>
    <row r="402" spans="1:4" x14ac:dyDescent="0.25">
      <c r="A402" s="42">
        <f t="shared" si="8"/>
        <v>401</v>
      </c>
      <c r="B402" s="42" cm="1">
        <f t="array" aca="1" ref="B402" ca="1">INDEX(Historical!$A$1:$A$18, RANDBETWEEN(1, COUNTA(Historical!$A$1:$A$18)))</f>
        <v>1.3692307692307693</v>
      </c>
      <c r="C402" s="42">
        <f ca="1">Inputs!$B$2/B402</f>
        <v>163.59550561797752</v>
      </c>
      <c r="D402" s="43">
        <f ca="1">WORKDAY(Inputs!$B$3, ROUND(C402, 0),Sheet2!$A$2:$A$21)</f>
        <v>46258</v>
      </c>
    </row>
    <row r="403" spans="1:4" x14ac:dyDescent="0.25">
      <c r="A403" s="42">
        <f t="shared" si="8"/>
        <v>402</v>
      </c>
      <c r="B403" s="42" cm="1">
        <f t="array" aca="1" ref="B403" ca="1">INDEX(Historical!$A$1:$A$18, RANDBETWEEN(1, COUNTA(Historical!$A$1:$A$18)))</f>
        <v>1.3214285714285714</v>
      </c>
      <c r="C403" s="42">
        <f ca="1">Inputs!$B$2/B403</f>
        <v>169.51351351351352</v>
      </c>
      <c r="D403" s="43">
        <f ca="1">WORKDAY(Inputs!$B$3, ROUND(C403, 0),Sheet2!$A$2:$A$21)</f>
        <v>46266</v>
      </c>
    </row>
    <row r="404" spans="1:4" x14ac:dyDescent="0.25">
      <c r="A404" s="42">
        <f t="shared" si="8"/>
        <v>403</v>
      </c>
      <c r="B404" s="42" cm="1">
        <f t="array" aca="1" ref="B404" ca="1">INDEX(Historical!$A$1:$A$18, RANDBETWEEN(1, COUNTA(Historical!$A$1:$A$18)))</f>
        <v>1.375</v>
      </c>
      <c r="C404" s="42">
        <f ca="1">Inputs!$B$2/B404</f>
        <v>162.90909090909091</v>
      </c>
      <c r="D404" s="43">
        <f ca="1">WORKDAY(Inputs!$B$3, ROUND(C404, 0),Sheet2!$A$2:$A$21)</f>
        <v>46255</v>
      </c>
    </row>
    <row r="405" spans="1:4" x14ac:dyDescent="0.25">
      <c r="A405" s="42">
        <f t="shared" si="8"/>
        <v>404</v>
      </c>
      <c r="B405" s="42" cm="1">
        <f t="array" aca="1" ref="B405" ca="1">INDEX(Historical!$A$1:$A$18, RANDBETWEEN(1, COUNTA(Historical!$A$1:$A$18)))</f>
        <v>1.4761904761904763</v>
      </c>
      <c r="C405" s="42">
        <f ca="1">Inputs!$B$2/B405</f>
        <v>151.74193548387095</v>
      </c>
      <c r="D405" s="43">
        <f ca="1">WORKDAY(Inputs!$B$3, ROUND(C405, 0),Sheet2!$A$2:$A$21)</f>
        <v>46240</v>
      </c>
    </row>
    <row r="406" spans="1:4" x14ac:dyDescent="0.25">
      <c r="A406" s="42">
        <f t="shared" si="8"/>
        <v>405</v>
      </c>
      <c r="B406" s="42" cm="1">
        <f t="array" aca="1" ref="B406" ca="1">INDEX(Historical!$A$1:$A$18, RANDBETWEEN(1, COUNTA(Historical!$A$1:$A$18)))</f>
        <v>1.4038461538461537</v>
      </c>
      <c r="C406" s="42">
        <f ca="1">Inputs!$B$2/B406</f>
        <v>159.56164383561645</v>
      </c>
      <c r="D406" s="43">
        <f ca="1">WORKDAY(Inputs!$B$3, ROUND(C406, 0),Sheet2!$A$2:$A$21)</f>
        <v>46252</v>
      </c>
    </row>
    <row r="407" spans="1:4" x14ac:dyDescent="0.25">
      <c r="A407" s="42">
        <f t="shared" si="8"/>
        <v>406</v>
      </c>
      <c r="B407" s="42" cm="1">
        <f t="array" aca="1" ref="B407" ca="1">INDEX(Historical!$A$1:$A$18, RANDBETWEEN(1, COUNTA(Historical!$A$1:$A$18)))</f>
        <v>1.4761904761904763</v>
      </c>
      <c r="C407" s="42">
        <f ca="1">Inputs!$B$2/B407</f>
        <v>151.74193548387095</v>
      </c>
      <c r="D407" s="43">
        <f ca="1">WORKDAY(Inputs!$B$3, ROUND(C407, 0),Sheet2!$A$2:$A$21)</f>
        <v>46240</v>
      </c>
    </row>
    <row r="408" spans="1:4" x14ac:dyDescent="0.25">
      <c r="A408" s="42">
        <f t="shared" si="8"/>
        <v>407</v>
      </c>
      <c r="B408" s="42" cm="1">
        <f t="array" aca="1" ref="B408" ca="1">INDEX(Historical!$A$1:$A$18, RANDBETWEEN(1, COUNTA(Historical!$A$1:$A$18)))</f>
        <v>1.375</v>
      </c>
      <c r="C408" s="42">
        <f ca="1">Inputs!$B$2/B408</f>
        <v>162.90909090909091</v>
      </c>
      <c r="D408" s="43">
        <f ca="1">WORKDAY(Inputs!$B$3, ROUND(C408, 0),Sheet2!$A$2:$A$21)</f>
        <v>46255</v>
      </c>
    </row>
    <row r="409" spans="1:4" x14ac:dyDescent="0.25">
      <c r="A409" s="42">
        <f t="shared" si="8"/>
        <v>408</v>
      </c>
      <c r="B409" s="42" cm="1">
        <f t="array" aca="1" ref="B409" ca="1">INDEX(Historical!$A$1:$A$18, RANDBETWEEN(1, COUNTA(Historical!$A$1:$A$18)))</f>
        <v>1.4347826086956521</v>
      </c>
      <c r="C409" s="42">
        <f ca="1">Inputs!$B$2/B409</f>
        <v>156.12121212121212</v>
      </c>
      <c r="D409" s="43">
        <f ca="1">WORKDAY(Inputs!$B$3, ROUND(C409, 0),Sheet2!$A$2:$A$21)</f>
        <v>46246</v>
      </c>
    </row>
    <row r="410" spans="1:4" x14ac:dyDescent="0.25">
      <c r="A410" s="42">
        <f t="shared" si="8"/>
        <v>409</v>
      </c>
      <c r="B410" s="42" cm="1">
        <f t="array" aca="1" ref="B410" ca="1">INDEX(Historical!$A$1:$A$18, RANDBETWEEN(1, COUNTA(Historical!$A$1:$A$18)))</f>
        <v>1.368421052631579</v>
      </c>
      <c r="C410" s="42">
        <f ca="1">Inputs!$B$2/B410</f>
        <v>163.69230769230768</v>
      </c>
      <c r="D410" s="43">
        <f ca="1">WORKDAY(Inputs!$B$3, ROUND(C410, 0),Sheet2!$A$2:$A$21)</f>
        <v>46258</v>
      </c>
    </row>
    <row r="411" spans="1:4" x14ac:dyDescent="0.25">
      <c r="A411" s="42">
        <f t="shared" si="8"/>
        <v>410</v>
      </c>
      <c r="B411" s="42" cm="1">
        <f t="array" aca="1" ref="B411" ca="1">INDEX(Historical!$A$1:$A$18, RANDBETWEEN(1, COUNTA(Historical!$A$1:$A$18)))</f>
        <v>1.368421052631579</v>
      </c>
      <c r="C411" s="42">
        <f ca="1">Inputs!$B$2/B411</f>
        <v>163.69230769230768</v>
      </c>
      <c r="D411" s="43">
        <f ca="1">WORKDAY(Inputs!$B$3, ROUND(C411, 0),Sheet2!$A$2:$A$21)</f>
        <v>46258</v>
      </c>
    </row>
    <row r="412" spans="1:4" x14ac:dyDescent="0.25">
      <c r="A412" s="42">
        <f t="shared" si="8"/>
        <v>411</v>
      </c>
      <c r="B412" s="42" cm="1">
        <f t="array" aca="1" ref="B412" ca="1">INDEX(Historical!$A$1:$A$18, RANDBETWEEN(1, COUNTA(Historical!$A$1:$A$18)))</f>
        <v>1.368421052631579</v>
      </c>
      <c r="C412" s="42">
        <f ca="1">Inputs!$B$2/B412</f>
        <v>163.69230769230768</v>
      </c>
      <c r="D412" s="43">
        <f ca="1">WORKDAY(Inputs!$B$3, ROUND(C412, 0),Sheet2!$A$2:$A$21)</f>
        <v>46258</v>
      </c>
    </row>
    <row r="413" spans="1:4" x14ac:dyDescent="0.25">
      <c r="A413" s="42">
        <f t="shared" si="8"/>
        <v>412</v>
      </c>
      <c r="B413" s="42" cm="1">
        <f t="array" aca="1" ref="B413" ca="1">INDEX(Historical!$A$1:$A$18, RANDBETWEEN(1, COUNTA(Historical!$A$1:$A$18)))</f>
        <v>1.368421052631579</v>
      </c>
      <c r="C413" s="42">
        <f ca="1">Inputs!$B$2/B413</f>
        <v>163.69230769230768</v>
      </c>
      <c r="D413" s="43">
        <f ca="1">WORKDAY(Inputs!$B$3, ROUND(C413, 0),Sheet2!$A$2:$A$21)</f>
        <v>46258</v>
      </c>
    </row>
    <row r="414" spans="1:4" x14ac:dyDescent="0.25">
      <c r="A414" s="42">
        <f t="shared" si="8"/>
        <v>413</v>
      </c>
      <c r="B414" s="42" cm="1">
        <f t="array" aca="1" ref="B414" ca="1">INDEX(Historical!$A$1:$A$18, RANDBETWEEN(1, COUNTA(Historical!$A$1:$A$18)))</f>
        <v>1.3214285714285714</v>
      </c>
      <c r="C414" s="42">
        <f ca="1">Inputs!$B$2/B414</f>
        <v>169.51351351351352</v>
      </c>
      <c r="D414" s="43">
        <f ca="1">WORKDAY(Inputs!$B$3, ROUND(C414, 0),Sheet2!$A$2:$A$21)</f>
        <v>46266</v>
      </c>
    </row>
    <row r="415" spans="1:4" x14ac:dyDescent="0.25">
      <c r="A415" s="42">
        <f t="shared" si="8"/>
        <v>414</v>
      </c>
      <c r="B415" s="42" cm="1">
        <f t="array" aca="1" ref="B415" ca="1">INDEX(Historical!$A$1:$A$18, RANDBETWEEN(1, COUNTA(Historical!$A$1:$A$18)))</f>
        <v>1.303030303030303</v>
      </c>
      <c r="C415" s="42">
        <f ca="1">Inputs!$B$2/B415</f>
        <v>171.90697674418604</v>
      </c>
      <c r="D415" s="43">
        <f ca="1">WORKDAY(Inputs!$B$3, ROUND(C415, 0),Sheet2!$A$2:$A$21)</f>
        <v>46268</v>
      </c>
    </row>
    <row r="416" spans="1:4" x14ac:dyDescent="0.25">
      <c r="A416" s="42">
        <f t="shared" si="8"/>
        <v>415</v>
      </c>
      <c r="B416" s="42" cm="1">
        <f t="array" aca="1" ref="B416" ca="1">INDEX(Historical!$A$1:$A$18, RANDBETWEEN(1, COUNTA(Historical!$A$1:$A$18)))</f>
        <v>1.290909090909091</v>
      </c>
      <c r="C416" s="42">
        <f ca="1">Inputs!$B$2/B416</f>
        <v>173.52112676056336</v>
      </c>
      <c r="D416" s="43">
        <f ca="1">WORKDAY(Inputs!$B$3, ROUND(C416, 0),Sheet2!$A$2:$A$21)</f>
        <v>46273</v>
      </c>
    </row>
    <row r="417" spans="1:4" x14ac:dyDescent="0.25">
      <c r="A417" s="42">
        <f t="shared" si="8"/>
        <v>416</v>
      </c>
      <c r="B417" s="42" cm="1">
        <f t="array" aca="1" ref="B417" ca="1">INDEX(Historical!$A$1:$A$18, RANDBETWEEN(1, COUNTA(Historical!$A$1:$A$18)))</f>
        <v>1.3692307692307693</v>
      </c>
      <c r="C417" s="42">
        <f ca="1">Inputs!$B$2/B417</f>
        <v>163.59550561797752</v>
      </c>
      <c r="D417" s="43">
        <f ca="1">WORKDAY(Inputs!$B$3, ROUND(C417, 0),Sheet2!$A$2:$A$21)</f>
        <v>46258</v>
      </c>
    </row>
    <row r="418" spans="1:4" x14ac:dyDescent="0.25">
      <c r="A418" s="42">
        <f t="shared" si="8"/>
        <v>417</v>
      </c>
      <c r="B418" s="42" cm="1">
        <f t="array" aca="1" ref="B418" ca="1">INDEX(Historical!$A$1:$A$18, RANDBETWEEN(1, COUNTA(Historical!$A$1:$A$18)))</f>
        <v>1.3214285714285714</v>
      </c>
      <c r="C418" s="42">
        <f ca="1">Inputs!$B$2/B418</f>
        <v>169.51351351351352</v>
      </c>
      <c r="D418" s="43">
        <f ca="1">WORKDAY(Inputs!$B$3, ROUND(C418, 0),Sheet2!$A$2:$A$21)</f>
        <v>46266</v>
      </c>
    </row>
    <row r="419" spans="1:4" x14ac:dyDescent="0.25">
      <c r="A419" s="42">
        <f t="shared" si="8"/>
        <v>418</v>
      </c>
      <c r="B419" s="42" cm="1">
        <f t="array" aca="1" ref="B419" ca="1">INDEX(Historical!$A$1:$A$18, RANDBETWEEN(1, COUNTA(Historical!$A$1:$A$18)))</f>
        <v>1.290909090909091</v>
      </c>
      <c r="C419" s="42">
        <f ca="1">Inputs!$B$2/B419</f>
        <v>173.52112676056336</v>
      </c>
      <c r="D419" s="43">
        <f ca="1">WORKDAY(Inputs!$B$3, ROUND(C419, 0),Sheet2!$A$2:$A$21)</f>
        <v>46273</v>
      </c>
    </row>
    <row r="420" spans="1:4" x14ac:dyDescent="0.25">
      <c r="A420" s="42">
        <f t="shared" si="8"/>
        <v>419</v>
      </c>
      <c r="B420" s="42" cm="1">
        <f t="array" aca="1" ref="B420" ca="1">INDEX(Historical!$A$1:$A$18, RANDBETWEEN(1, COUNTA(Historical!$A$1:$A$18)))</f>
        <v>1.3617021276595744</v>
      </c>
      <c r="C420" s="42">
        <f ca="1">Inputs!$B$2/B420</f>
        <v>164.5</v>
      </c>
      <c r="D420" s="43">
        <f ca="1">WORKDAY(Inputs!$B$3, ROUND(C420, 0),Sheet2!$A$2:$A$21)</f>
        <v>46259</v>
      </c>
    </row>
    <row r="421" spans="1:4" x14ac:dyDescent="0.25">
      <c r="A421" s="42">
        <f t="shared" si="8"/>
        <v>420</v>
      </c>
      <c r="B421" s="42" cm="1">
        <f t="array" aca="1" ref="B421" ca="1">INDEX(Historical!$A$1:$A$18, RANDBETWEEN(1, COUNTA(Historical!$A$1:$A$18)))</f>
        <v>1.3611111111111112</v>
      </c>
      <c r="C421" s="42">
        <f ca="1">Inputs!$B$2/B421</f>
        <v>164.57142857142856</v>
      </c>
      <c r="D421" s="43">
        <f ca="1">WORKDAY(Inputs!$B$3, ROUND(C421, 0),Sheet2!$A$2:$A$21)</f>
        <v>46259</v>
      </c>
    </row>
    <row r="422" spans="1:4" x14ac:dyDescent="0.25">
      <c r="A422" s="42">
        <f t="shared" si="8"/>
        <v>421</v>
      </c>
      <c r="B422" s="42" cm="1">
        <f t="array" aca="1" ref="B422" ca="1">INDEX(Historical!$A$1:$A$18, RANDBETWEEN(1, COUNTA(Historical!$A$1:$A$18)))</f>
        <v>1.2941176470588236</v>
      </c>
      <c r="C422" s="42">
        <f ca="1">Inputs!$B$2/B422</f>
        <v>173.09090909090909</v>
      </c>
      <c r="D422" s="43">
        <f ca="1">WORKDAY(Inputs!$B$3, ROUND(C422, 0),Sheet2!$A$2:$A$21)</f>
        <v>46269</v>
      </c>
    </row>
    <row r="423" spans="1:4" x14ac:dyDescent="0.25">
      <c r="A423" s="42">
        <f t="shared" si="8"/>
        <v>422</v>
      </c>
      <c r="B423" s="42" cm="1">
        <f t="array" aca="1" ref="B423" ca="1">INDEX(Historical!$A$1:$A$18, RANDBETWEEN(1, COUNTA(Historical!$A$1:$A$18)))</f>
        <v>1.3157894736842106</v>
      </c>
      <c r="C423" s="42">
        <f ca="1">Inputs!$B$2/B423</f>
        <v>170.23999999999998</v>
      </c>
      <c r="D423" s="43">
        <f ca="1">WORKDAY(Inputs!$B$3, ROUND(C423, 0),Sheet2!$A$2:$A$21)</f>
        <v>46266</v>
      </c>
    </row>
    <row r="424" spans="1:4" x14ac:dyDescent="0.25">
      <c r="A424" s="42">
        <f t="shared" si="8"/>
        <v>423</v>
      </c>
      <c r="B424" s="42" cm="1">
        <f t="array" aca="1" ref="B424" ca="1">INDEX(Historical!$A$1:$A$18, RANDBETWEEN(1, COUNTA(Historical!$A$1:$A$18)))</f>
        <v>1.368421052631579</v>
      </c>
      <c r="C424" s="42">
        <f ca="1">Inputs!$B$2/B424</f>
        <v>163.69230769230768</v>
      </c>
      <c r="D424" s="43">
        <f ca="1">WORKDAY(Inputs!$B$3, ROUND(C424, 0),Sheet2!$A$2:$A$21)</f>
        <v>46258</v>
      </c>
    </row>
    <row r="425" spans="1:4" x14ac:dyDescent="0.25">
      <c r="A425" s="42">
        <f t="shared" si="8"/>
        <v>424</v>
      </c>
      <c r="B425" s="42" cm="1">
        <f t="array" aca="1" ref="B425" ca="1">INDEX(Historical!$A$1:$A$18, RANDBETWEEN(1, COUNTA(Historical!$A$1:$A$18)))</f>
        <v>1.3611111111111112</v>
      </c>
      <c r="C425" s="42">
        <f ca="1">Inputs!$B$2/B425</f>
        <v>164.57142857142856</v>
      </c>
      <c r="D425" s="43">
        <f ca="1">WORKDAY(Inputs!$B$3, ROUND(C425, 0),Sheet2!$A$2:$A$21)</f>
        <v>46259</v>
      </c>
    </row>
    <row r="426" spans="1:4" x14ac:dyDescent="0.25">
      <c r="A426" s="42">
        <f t="shared" si="8"/>
        <v>425</v>
      </c>
      <c r="B426" s="42" cm="1">
        <f t="array" aca="1" ref="B426" ca="1">INDEX(Historical!$A$1:$A$18, RANDBETWEEN(1, COUNTA(Historical!$A$1:$A$18)))</f>
        <v>1.368421052631579</v>
      </c>
      <c r="C426" s="42">
        <f ca="1">Inputs!$B$2/B426</f>
        <v>163.69230769230768</v>
      </c>
      <c r="D426" s="43">
        <f ca="1">WORKDAY(Inputs!$B$3, ROUND(C426, 0),Sheet2!$A$2:$A$21)</f>
        <v>46258</v>
      </c>
    </row>
    <row r="427" spans="1:4" x14ac:dyDescent="0.25">
      <c r="A427" s="42">
        <f t="shared" si="8"/>
        <v>426</v>
      </c>
      <c r="B427" s="42" cm="1">
        <f t="array" aca="1" ref="B427" ca="1">INDEX(Historical!$A$1:$A$18, RANDBETWEEN(1, COUNTA(Historical!$A$1:$A$18)))</f>
        <v>1.4137931034482758</v>
      </c>
      <c r="C427" s="42">
        <f ca="1">Inputs!$B$2/B427</f>
        <v>158.4390243902439</v>
      </c>
      <c r="D427" s="43">
        <f ca="1">WORKDAY(Inputs!$B$3, ROUND(C427, 0),Sheet2!$A$2:$A$21)</f>
        <v>46248</v>
      </c>
    </row>
    <row r="428" spans="1:4" x14ac:dyDescent="0.25">
      <c r="A428" s="42">
        <f t="shared" si="8"/>
        <v>427</v>
      </c>
      <c r="B428" s="42" cm="1">
        <f t="array" aca="1" ref="B428" ca="1">INDEX(Historical!$A$1:$A$18, RANDBETWEEN(1, COUNTA(Historical!$A$1:$A$18)))</f>
        <v>1.290909090909091</v>
      </c>
      <c r="C428" s="42">
        <f ca="1">Inputs!$B$2/B428</f>
        <v>173.52112676056336</v>
      </c>
      <c r="D428" s="43">
        <f ca="1">WORKDAY(Inputs!$B$3, ROUND(C428, 0),Sheet2!$A$2:$A$21)</f>
        <v>46273</v>
      </c>
    </row>
    <row r="429" spans="1:4" x14ac:dyDescent="0.25">
      <c r="A429" s="42">
        <f t="shared" si="8"/>
        <v>428</v>
      </c>
      <c r="B429" s="42" cm="1">
        <f t="array" aca="1" ref="B429" ca="1">INDEX(Historical!$A$1:$A$18, RANDBETWEEN(1, COUNTA(Historical!$A$1:$A$18)))</f>
        <v>1.368421052631579</v>
      </c>
      <c r="C429" s="42">
        <f ca="1">Inputs!$B$2/B429</f>
        <v>163.69230769230768</v>
      </c>
      <c r="D429" s="43">
        <f ca="1">WORKDAY(Inputs!$B$3, ROUND(C429, 0),Sheet2!$A$2:$A$21)</f>
        <v>46258</v>
      </c>
    </row>
    <row r="430" spans="1:4" x14ac:dyDescent="0.25">
      <c r="A430" s="42">
        <f t="shared" si="8"/>
        <v>429</v>
      </c>
      <c r="B430" s="42" cm="1">
        <f t="array" aca="1" ref="B430" ca="1">INDEX(Historical!$A$1:$A$18, RANDBETWEEN(1, COUNTA(Historical!$A$1:$A$18)))</f>
        <v>1.290909090909091</v>
      </c>
      <c r="C430" s="42">
        <f ca="1">Inputs!$B$2/B430</f>
        <v>173.52112676056336</v>
      </c>
      <c r="D430" s="43">
        <f ca="1">WORKDAY(Inputs!$B$3, ROUND(C430, 0),Sheet2!$A$2:$A$21)</f>
        <v>46273</v>
      </c>
    </row>
    <row r="431" spans="1:4" x14ac:dyDescent="0.25">
      <c r="A431" s="42">
        <f t="shared" si="8"/>
        <v>430</v>
      </c>
      <c r="B431" s="42" cm="1">
        <f t="array" aca="1" ref="B431" ca="1">INDEX(Historical!$A$1:$A$18, RANDBETWEEN(1, COUNTA(Historical!$A$1:$A$18)))</f>
        <v>1.1666666666666667</v>
      </c>
      <c r="C431" s="42">
        <f ca="1">Inputs!$B$2/B431</f>
        <v>192</v>
      </c>
      <c r="D431" s="43">
        <f ca="1">WORKDAY(Inputs!$B$3, ROUND(C431, 0),Sheet2!$A$2:$A$21)</f>
        <v>46297</v>
      </c>
    </row>
    <row r="432" spans="1:4" x14ac:dyDescent="0.25">
      <c r="A432" s="42">
        <f t="shared" si="8"/>
        <v>431</v>
      </c>
      <c r="B432" s="42" cm="1">
        <f t="array" aca="1" ref="B432" ca="1">INDEX(Historical!$A$1:$A$18, RANDBETWEEN(1, COUNTA(Historical!$A$1:$A$18)))</f>
        <v>1.4761904761904763</v>
      </c>
      <c r="C432" s="42">
        <f ca="1">Inputs!$B$2/B432</f>
        <v>151.74193548387095</v>
      </c>
      <c r="D432" s="43">
        <f ca="1">WORKDAY(Inputs!$B$3, ROUND(C432, 0),Sheet2!$A$2:$A$21)</f>
        <v>46240</v>
      </c>
    </row>
    <row r="433" spans="1:4" x14ac:dyDescent="0.25">
      <c r="A433" s="42">
        <f t="shared" si="8"/>
        <v>432</v>
      </c>
      <c r="B433" s="42" cm="1">
        <f t="array" aca="1" ref="B433" ca="1">INDEX(Historical!$A$1:$A$18, RANDBETWEEN(1, COUNTA(Historical!$A$1:$A$18)))</f>
        <v>1.3707865168539326</v>
      </c>
      <c r="C433" s="42">
        <f ca="1">Inputs!$B$2/B433</f>
        <v>163.40983606557376</v>
      </c>
      <c r="D433" s="43">
        <f ca="1">WORKDAY(Inputs!$B$3, ROUND(C433, 0),Sheet2!$A$2:$A$21)</f>
        <v>46255</v>
      </c>
    </row>
    <row r="434" spans="1:4" x14ac:dyDescent="0.25">
      <c r="A434" s="42">
        <f t="shared" si="8"/>
        <v>433</v>
      </c>
      <c r="B434" s="42" cm="1">
        <f t="array" aca="1" ref="B434" ca="1">INDEX(Historical!$A$1:$A$18, RANDBETWEEN(1, COUNTA(Historical!$A$1:$A$18)))</f>
        <v>1.3214285714285714</v>
      </c>
      <c r="C434" s="42">
        <f ca="1">Inputs!$B$2/B434</f>
        <v>169.51351351351352</v>
      </c>
      <c r="D434" s="43">
        <f ca="1">WORKDAY(Inputs!$B$3, ROUND(C434, 0),Sheet2!$A$2:$A$21)</f>
        <v>46266</v>
      </c>
    </row>
    <row r="435" spans="1:4" x14ac:dyDescent="0.25">
      <c r="A435" s="42">
        <f t="shared" si="8"/>
        <v>434</v>
      </c>
      <c r="B435" s="42" cm="1">
        <f t="array" aca="1" ref="B435" ca="1">INDEX(Historical!$A$1:$A$18, RANDBETWEEN(1, COUNTA(Historical!$A$1:$A$18)))</f>
        <v>1.3707865168539326</v>
      </c>
      <c r="C435" s="42">
        <f ca="1">Inputs!$B$2/B435</f>
        <v>163.40983606557376</v>
      </c>
      <c r="D435" s="43">
        <f ca="1">WORKDAY(Inputs!$B$3, ROUND(C435, 0),Sheet2!$A$2:$A$21)</f>
        <v>46255</v>
      </c>
    </row>
    <row r="436" spans="1:4" x14ac:dyDescent="0.25">
      <c r="A436" s="42">
        <f t="shared" si="8"/>
        <v>435</v>
      </c>
      <c r="B436" s="42" cm="1">
        <f t="array" aca="1" ref="B436" ca="1">INDEX(Historical!$A$1:$A$18, RANDBETWEEN(1, COUNTA(Historical!$A$1:$A$18)))</f>
        <v>1.3611111111111112</v>
      </c>
      <c r="C436" s="42">
        <f ca="1">Inputs!$B$2/B436</f>
        <v>164.57142857142856</v>
      </c>
      <c r="D436" s="43">
        <f ca="1">WORKDAY(Inputs!$B$3, ROUND(C436, 0),Sheet2!$A$2:$A$21)</f>
        <v>46259</v>
      </c>
    </row>
    <row r="437" spans="1:4" x14ac:dyDescent="0.25">
      <c r="A437" s="42">
        <f t="shared" si="8"/>
        <v>436</v>
      </c>
      <c r="B437" s="42" cm="1">
        <f t="array" aca="1" ref="B437" ca="1">INDEX(Historical!$A$1:$A$18, RANDBETWEEN(1, COUNTA(Historical!$A$1:$A$18)))</f>
        <v>1.4038461538461537</v>
      </c>
      <c r="C437" s="42">
        <f ca="1">Inputs!$B$2/B437</f>
        <v>159.56164383561645</v>
      </c>
      <c r="D437" s="43">
        <f ca="1">WORKDAY(Inputs!$B$3, ROUND(C437, 0),Sheet2!$A$2:$A$21)</f>
        <v>46252</v>
      </c>
    </row>
    <row r="438" spans="1:4" x14ac:dyDescent="0.25">
      <c r="A438" s="42">
        <f t="shared" si="8"/>
        <v>437</v>
      </c>
      <c r="B438" s="42" cm="1">
        <f t="array" aca="1" ref="B438" ca="1">INDEX(Historical!$A$1:$A$18, RANDBETWEEN(1, COUNTA(Historical!$A$1:$A$18)))</f>
        <v>1.303030303030303</v>
      </c>
      <c r="C438" s="42">
        <f ca="1">Inputs!$B$2/B438</f>
        <v>171.90697674418604</v>
      </c>
      <c r="D438" s="43">
        <f ca="1">WORKDAY(Inputs!$B$3, ROUND(C438, 0),Sheet2!$A$2:$A$21)</f>
        <v>46268</v>
      </c>
    </row>
    <row r="439" spans="1:4" x14ac:dyDescent="0.25">
      <c r="A439" s="42">
        <f t="shared" si="8"/>
        <v>438</v>
      </c>
      <c r="B439" s="42" cm="1">
        <f t="array" aca="1" ref="B439" ca="1">INDEX(Historical!$A$1:$A$18, RANDBETWEEN(1, COUNTA(Historical!$A$1:$A$18)))</f>
        <v>1.3157894736842106</v>
      </c>
      <c r="C439" s="42">
        <f ca="1">Inputs!$B$2/B439</f>
        <v>170.23999999999998</v>
      </c>
      <c r="D439" s="43">
        <f ca="1">WORKDAY(Inputs!$B$3, ROUND(C439, 0),Sheet2!$A$2:$A$21)</f>
        <v>46266</v>
      </c>
    </row>
    <row r="440" spans="1:4" x14ac:dyDescent="0.25">
      <c r="A440" s="42">
        <f t="shared" si="8"/>
        <v>439</v>
      </c>
      <c r="B440" s="42" cm="1">
        <f t="array" aca="1" ref="B440" ca="1">INDEX(Historical!$A$1:$A$18, RANDBETWEEN(1, COUNTA(Historical!$A$1:$A$18)))</f>
        <v>1.1666666666666667</v>
      </c>
      <c r="C440" s="42">
        <f ca="1">Inputs!$B$2/B440</f>
        <v>192</v>
      </c>
      <c r="D440" s="43">
        <f ca="1">WORKDAY(Inputs!$B$3, ROUND(C440, 0),Sheet2!$A$2:$A$21)</f>
        <v>46297</v>
      </c>
    </row>
    <row r="441" spans="1:4" x14ac:dyDescent="0.25">
      <c r="A441" s="42">
        <f t="shared" si="8"/>
        <v>440</v>
      </c>
      <c r="B441" s="42" cm="1">
        <f t="array" aca="1" ref="B441" ca="1">INDEX(Historical!$A$1:$A$18, RANDBETWEEN(1, COUNTA(Historical!$A$1:$A$18)))</f>
        <v>1.375</v>
      </c>
      <c r="C441" s="42">
        <f ca="1">Inputs!$B$2/B441</f>
        <v>162.90909090909091</v>
      </c>
      <c r="D441" s="43">
        <f ca="1">WORKDAY(Inputs!$B$3, ROUND(C441, 0),Sheet2!$A$2:$A$21)</f>
        <v>46255</v>
      </c>
    </row>
    <row r="442" spans="1:4" x14ac:dyDescent="0.25">
      <c r="A442" s="42">
        <f t="shared" si="8"/>
        <v>441</v>
      </c>
      <c r="B442" s="42" cm="1">
        <f t="array" aca="1" ref="B442" ca="1">INDEX(Historical!$A$1:$A$18, RANDBETWEEN(1, COUNTA(Historical!$A$1:$A$18)))</f>
        <v>1.3214285714285714</v>
      </c>
      <c r="C442" s="42">
        <f ca="1">Inputs!$B$2/B442</f>
        <v>169.51351351351352</v>
      </c>
      <c r="D442" s="43">
        <f ca="1">WORKDAY(Inputs!$B$3, ROUND(C442, 0),Sheet2!$A$2:$A$21)</f>
        <v>46266</v>
      </c>
    </row>
    <row r="443" spans="1:4" x14ac:dyDescent="0.25">
      <c r="A443" s="42">
        <f t="shared" si="8"/>
        <v>442</v>
      </c>
      <c r="B443" s="42" cm="1">
        <f t="array" aca="1" ref="B443" ca="1">INDEX(Historical!$A$1:$A$18, RANDBETWEEN(1, COUNTA(Historical!$A$1:$A$18)))</f>
        <v>1.303030303030303</v>
      </c>
      <c r="C443" s="42">
        <f ca="1">Inputs!$B$2/B443</f>
        <v>171.90697674418604</v>
      </c>
      <c r="D443" s="43">
        <f ca="1">WORKDAY(Inputs!$B$3, ROUND(C443, 0),Sheet2!$A$2:$A$21)</f>
        <v>46268</v>
      </c>
    </row>
    <row r="444" spans="1:4" x14ac:dyDescent="0.25">
      <c r="A444" s="42">
        <f t="shared" si="8"/>
        <v>443</v>
      </c>
      <c r="B444" s="42" cm="1">
        <f t="array" aca="1" ref="B444" ca="1">INDEX(Historical!$A$1:$A$18, RANDBETWEEN(1, COUNTA(Historical!$A$1:$A$18)))</f>
        <v>1.3707865168539326</v>
      </c>
      <c r="C444" s="42">
        <f ca="1">Inputs!$B$2/B444</f>
        <v>163.40983606557376</v>
      </c>
      <c r="D444" s="43">
        <f ca="1">WORKDAY(Inputs!$B$3, ROUND(C444, 0),Sheet2!$A$2:$A$21)</f>
        <v>46255</v>
      </c>
    </row>
    <row r="445" spans="1:4" x14ac:dyDescent="0.25">
      <c r="A445" s="42">
        <f t="shared" si="8"/>
        <v>444</v>
      </c>
      <c r="B445" s="42" cm="1">
        <f t="array" aca="1" ref="B445" ca="1">INDEX(Historical!$A$1:$A$18, RANDBETWEEN(1, COUNTA(Historical!$A$1:$A$18)))</f>
        <v>1.4137931034482758</v>
      </c>
      <c r="C445" s="42">
        <f ca="1">Inputs!$B$2/B445</f>
        <v>158.4390243902439</v>
      </c>
      <c r="D445" s="43">
        <f ca="1">WORKDAY(Inputs!$B$3, ROUND(C445, 0),Sheet2!$A$2:$A$21)</f>
        <v>46248</v>
      </c>
    </row>
    <row r="446" spans="1:4" x14ac:dyDescent="0.25">
      <c r="A446" s="42">
        <f t="shared" si="8"/>
        <v>445</v>
      </c>
      <c r="B446" s="42" cm="1">
        <f t="array" aca="1" ref="B446" ca="1">INDEX(Historical!$A$1:$A$18, RANDBETWEEN(1, COUNTA(Historical!$A$1:$A$18)))</f>
        <v>1.3157894736842106</v>
      </c>
      <c r="C446" s="42">
        <f ca="1">Inputs!$B$2/B446</f>
        <v>170.23999999999998</v>
      </c>
      <c r="D446" s="43">
        <f ca="1">WORKDAY(Inputs!$B$3, ROUND(C446, 0),Sheet2!$A$2:$A$21)</f>
        <v>46266</v>
      </c>
    </row>
    <row r="447" spans="1:4" x14ac:dyDescent="0.25">
      <c r="A447" s="42">
        <f t="shared" si="8"/>
        <v>446</v>
      </c>
      <c r="B447" s="42" cm="1">
        <f t="array" aca="1" ref="B447" ca="1">INDEX(Historical!$A$1:$A$18, RANDBETWEEN(1, COUNTA(Historical!$A$1:$A$18)))</f>
        <v>1.3157894736842106</v>
      </c>
      <c r="C447" s="42">
        <f ca="1">Inputs!$B$2/B447</f>
        <v>170.23999999999998</v>
      </c>
      <c r="D447" s="43">
        <f ca="1">WORKDAY(Inputs!$B$3, ROUND(C447, 0),Sheet2!$A$2:$A$21)</f>
        <v>46266</v>
      </c>
    </row>
    <row r="448" spans="1:4" x14ac:dyDescent="0.25">
      <c r="A448" s="42">
        <f t="shared" si="8"/>
        <v>447</v>
      </c>
      <c r="B448" s="42" cm="1">
        <f t="array" aca="1" ref="B448" ca="1">INDEX(Historical!$A$1:$A$18, RANDBETWEEN(1, COUNTA(Historical!$A$1:$A$18)))</f>
        <v>1.368421052631579</v>
      </c>
      <c r="C448" s="42">
        <f ca="1">Inputs!$B$2/B448</f>
        <v>163.69230769230768</v>
      </c>
      <c r="D448" s="43">
        <f ca="1">WORKDAY(Inputs!$B$3, ROUND(C448, 0),Sheet2!$A$2:$A$21)</f>
        <v>46258</v>
      </c>
    </row>
    <row r="449" spans="1:4" x14ac:dyDescent="0.25">
      <c r="A449" s="42">
        <f t="shared" si="8"/>
        <v>448</v>
      </c>
      <c r="B449" s="42" cm="1">
        <f t="array" aca="1" ref="B449" ca="1">INDEX(Historical!$A$1:$A$18, RANDBETWEEN(1, COUNTA(Historical!$A$1:$A$18)))</f>
        <v>1.4137931034482758</v>
      </c>
      <c r="C449" s="42">
        <f ca="1">Inputs!$B$2/B449</f>
        <v>158.4390243902439</v>
      </c>
      <c r="D449" s="43">
        <f ca="1">WORKDAY(Inputs!$B$3, ROUND(C449, 0),Sheet2!$A$2:$A$21)</f>
        <v>46248</v>
      </c>
    </row>
    <row r="450" spans="1:4" x14ac:dyDescent="0.25">
      <c r="A450" s="42">
        <f t="shared" si="8"/>
        <v>449</v>
      </c>
      <c r="B450" s="42" cm="1">
        <f t="array" aca="1" ref="B450" ca="1">INDEX(Historical!$A$1:$A$18, RANDBETWEEN(1, COUNTA(Historical!$A$1:$A$18)))</f>
        <v>1.1666666666666667</v>
      </c>
      <c r="C450" s="42">
        <f ca="1">Inputs!$B$2/B450</f>
        <v>192</v>
      </c>
      <c r="D450" s="43">
        <f ca="1">WORKDAY(Inputs!$B$3, ROUND(C450, 0),Sheet2!$A$2:$A$21)</f>
        <v>46297</v>
      </c>
    </row>
    <row r="451" spans="1:4" x14ac:dyDescent="0.25">
      <c r="A451" s="42">
        <f t="shared" ref="A451:A514" si="9">ROW()-1</f>
        <v>450</v>
      </c>
      <c r="B451" s="42" cm="1">
        <f t="array" aca="1" ref="B451" ca="1">INDEX(Historical!$A$1:$A$18, RANDBETWEEN(1, COUNTA(Historical!$A$1:$A$18)))</f>
        <v>1.3617021276595744</v>
      </c>
      <c r="C451" s="42">
        <f ca="1">Inputs!$B$2/B451</f>
        <v>164.5</v>
      </c>
      <c r="D451" s="43">
        <f ca="1">WORKDAY(Inputs!$B$3, ROUND(C451, 0),Sheet2!$A$2:$A$21)</f>
        <v>46259</v>
      </c>
    </row>
    <row r="452" spans="1:4" x14ac:dyDescent="0.25">
      <c r="A452" s="42">
        <f t="shared" si="9"/>
        <v>451</v>
      </c>
      <c r="B452" s="42" cm="1">
        <f t="array" aca="1" ref="B452" ca="1">INDEX(Historical!$A$1:$A$18, RANDBETWEEN(1, COUNTA(Historical!$A$1:$A$18)))</f>
        <v>1.3707865168539326</v>
      </c>
      <c r="C452" s="42">
        <f ca="1">Inputs!$B$2/B452</f>
        <v>163.40983606557376</v>
      </c>
      <c r="D452" s="43">
        <f ca="1">WORKDAY(Inputs!$B$3, ROUND(C452, 0),Sheet2!$A$2:$A$21)</f>
        <v>46255</v>
      </c>
    </row>
    <row r="453" spans="1:4" x14ac:dyDescent="0.25">
      <c r="A453" s="42">
        <f t="shared" si="9"/>
        <v>452</v>
      </c>
      <c r="B453" s="42" cm="1">
        <f t="array" aca="1" ref="B453" ca="1">INDEX(Historical!$A$1:$A$18, RANDBETWEEN(1, COUNTA(Historical!$A$1:$A$18)))</f>
        <v>1.4038461538461537</v>
      </c>
      <c r="C453" s="42">
        <f ca="1">Inputs!$B$2/B453</f>
        <v>159.56164383561645</v>
      </c>
      <c r="D453" s="43">
        <f ca="1">WORKDAY(Inputs!$B$3, ROUND(C453, 0),Sheet2!$A$2:$A$21)</f>
        <v>46252</v>
      </c>
    </row>
    <row r="454" spans="1:4" x14ac:dyDescent="0.25">
      <c r="A454" s="42">
        <f t="shared" si="9"/>
        <v>453</v>
      </c>
      <c r="B454" s="42" cm="1">
        <f t="array" aca="1" ref="B454" ca="1">INDEX(Historical!$A$1:$A$18, RANDBETWEEN(1, COUNTA(Historical!$A$1:$A$18)))</f>
        <v>1.4038461538461537</v>
      </c>
      <c r="C454" s="42">
        <f ca="1">Inputs!$B$2/B454</f>
        <v>159.56164383561645</v>
      </c>
      <c r="D454" s="43">
        <f ca="1">WORKDAY(Inputs!$B$3, ROUND(C454, 0),Sheet2!$A$2:$A$21)</f>
        <v>46252</v>
      </c>
    </row>
    <row r="455" spans="1:4" x14ac:dyDescent="0.25">
      <c r="A455" s="42">
        <f t="shared" si="9"/>
        <v>454</v>
      </c>
      <c r="B455" s="42" cm="1">
        <f t="array" aca="1" ref="B455" ca="1">INDEX(Historical!$A$1:$A$18, RANDBETWEEN(1, COUNTA(Historical!$A$1:$A$18)))</f>
        <v>1.4137931034482758</v>
      </c>
      <c r="C455" s="42">
        <f ca="1">Inputs!$B$2/B455</f>
        <v>158.4390243902439</v>
      </c>
      <c r="D455" s="43">
        <f ca="1">WORKDAY(Inputs!$B$3, ROUND(C455, 0),Sheet2!$A$2:$A$21)</f>
        <v>46248</v>
      </c>
    </row>
    <row r="456" spans="1:4" x14ac:dyDescent="0.25">
      <c r="A456" s="42">
        <f t="shared" si="9"/>
        <v>455</v>
      </c>
      <c r="B456" s="42" cm="1">
        <f t="array" aca="1" ref="B456" ca="1">INDEX(Historical!$A$1:$A$18, RANDBETWEEN(1, COUNTA(Historical!$A$1:$A$18)))</f>
        <v>1.2941176470588236</v>
      </c>
      <c r="C456" s="42">
        <f ca="1">Inputs!$B$2/B456</f>
        <v>173.09090909090909</v>
      </c>
      <c r="D456" s="43">
        <f ca="1">WORKDAY(Inputs!$B$3, ROUND(C456, 0),Sheet2!$A$2:$A$21)</f>
        <v>46269</v>
      </c>
    </row>
    <row r="457" spans="1:4" x14ac:dyDescent="0.25">
      <c r="A457" s="42">
        <f t="shared" si="9"/>
        <v>456</v>
      </c>
      <c r="B457" s="42" cm="1">
        <f t="array" aca="1" ref="B457" ca="1">INDEX(Historical!$A$1:$A$18, RANDBETWEEN(1, COUNTA(Historical!$A$1:$A$18)))</f>
        <v>1.4038461538461537</v>
      </c>
      <c r="C457" s="42">
        <f ca="1">Inputs!$B$2/B457</f>
        <v>159.56164383561645</v>
      </c>
      <c r="D457" s="43">
        <f ca="1">WORKDAY(Inputs!$B$3, ROUND(C457, 0),Sheet2!$A$2:$A$21)</f>
        <v>46252</v>
      </c>
    </row>
    <row r="458" spans="1:4" x14ac:dyDescent="0.25">
      <c r="A458" s="42">
        <f t="shared" si="9"/>
        <v>457</v>
      </c>
      <c r="B458" s="42" cm="1">
        <f t="array" aca="1" ref="B458" ca="1">INDEX(Historical!$A$1:$A$18, RANDBETWEEN(1, COUNTA(Historical!$A$1:$A$18)))</f>
        <v>1.3611111111111112</v>
      </c>
      <c r="C458" s="42">
        <f ca="1">Inputs!$B$2/B458</f>
        <v>164.57142857142856</v>
      </c>
      <c r="D458" s="43">
        <f ca="1">WORKDAY(Inputs!$B$3, ROUND(C458, 0),Sheet2!$A$2:$A$21)</f>
        <v>46259</v>
      </c>
    </row>
    <row r="459" spans="1:4" x14ac:dyDescent="0.25">
      <c r="A459" s="42">
        <f t="shared" si="9"/>
        <v>458</v>
      </c>
      <c r="B459" s="42" cm="1">
        <f t="array" aca="1" ref="B459" ca="1">INDEX(Historical!$A$1:$A$18, RANDBETWEEN(1, COUNTA(Historical!$A$1:$A$18)))</f>
        <v>1.2941176470588236</v>
      </c>
      <c r="C459" s="42">
        <f ca="1">Inputs!$B$2/B459</f>
        <v>173.09090909090909</v>
      </c>
      <c r="D459" s="43">
        <f ca="1">WORKDAY(Inputs!$B$3, ROUND(C459, 0),Sheet2!$A$2:$A$21)</f>
        <v>46269</v>
      </c>
    </row>
    <row r="460" spans="1:4" x14ac:dyDescent="0.25">
      <c r="A460" s="42">
        <f t="shared" si="9"/>
        <v>459</v>
      </c>
      <c r="B460" s="42" cm="1">
        <f t="array" aca="1" ref="B460" ca="1">INDEX(Historical!$A$1:$A$18, RANDBETWEEN(1, COUNTA(Historical!$A$1:$A$18)))</f>
        <v>1.3707865168539326</v>
      </c>
      <c r="C460" s="42">
        <f ca="1">Inputs!$B$2/B460</f>
        <v>163.40983606557376</v>
      </c>
      <c r="D460" s="43">
        <f ca="1">WORKDAY(Inputs!$B$3, ROUND(C460, 0),Sheet2!$A$2:$A$21)</f>
        <v>46255</v>
      </c>
    </row>
    <row r="461" spans="1:4" x14ac:dyDescent="0.25">
      <c r="A461" s="42">
        <f t="shared" si="9"/>
        <v>460</v>
      </c>
      <c r="B461" s="42" cm="1">
        <f t="array" aca="1" ref="B461" ca="1">INDEX(Historical!$A$1:$A$18, RANDBETWEEN(1, COUNTA(Historical!$A$1:$A$18)))</f>
        <v>1.2941176470588236</v>
      </c>
      <c r="C461" s="42">
        <f ca="1">Inputs!$B$2/B461</f>
        <v>173.09090909090909</v>
      </c>
      <c r="D461" s="43">
        <f ca="1">WORKDAY(Inputs!$B$3, ROUND(C461, 0),Sheet2!$A$2:$A$21)</f>
        <v>46269</v>
      </c>
    </row>
    <row r="462" spans="1:4" x14ac:dyDescent="0.25">
      <c r="A462" s="42">
        <f t="shared" si="9"/>
        <v>461</v>
      </c>
      <c r="B462" s="42" cm="1">
        <f t="array" aca="1" ref="B462" ca="1">INDEX(Historical!$A$1:$A$18, RANDBETWEEN(1, COUNTA(Historical!$A$1:$A$18)))</f>
        <v>1.3611111111111112</v>
      </c>
      <c r="C462" s="42">
        <f ca="1">Inputs!$B$2/B462</f>
        <v>164.57142857142856</v>
      </c>
      <c r="D462" s="43">
        <f ca="1">WORKDAY(Inputs!$B$3, ROUND(C462, 0),Sheet2!$A$2:$A$21)</f>
        <v>46259</v>
      </c>
    </row>
    <row r="463" spans="1:4" x14ac:dyDescent="0.25">
      <c r="A463" s="42">
        <f t="shared" si="9"/>
        <v>462</v>
      </c>
      <c r="B463" s="42" cm="1">
        <f t="array" aca="1" ref="B463" ca="1">INDEX(Historical!$A$1:$A$18, RANDBETWEEN(1, COUNTA(Historical!$A$1:$A$18)))</f>
        <v>1.3157894736842106</v>
      </c>
      <c r="C463" s="42">
        <f ca="1">Inputs!$B$2/B463</f>
        <v>170.23999999999998</v>
      </c>
      <c r="D463" s="43">
        <f ca="1">WORKDAY(Inputs!$B$3, ROUND(C463, 0),Sheet2!$A$2:$A$21)</f>
        <v>46266</v>
      </c>
    </row>
    <row r="464" spans="1:4" x14ac:dyDescent="0.25">
      <c r="A464" s="42">
        <f t="shared" si="9"/>
        <v>463</v>
      </c>
      <c r="B464" s="42" cm="1">
        <f t="array" aca="1" ref="B464" ca="1">INDEX(Historical!$A$1:$A$18, RANDBETWEEN(1, COUNTA(Historical!$A$1:$A$18)))</f>
        <v>1.4761904761904763</v>
      </c>
      <c r="C464" s="42">
        <f ca="1">Inputs!$B$2/B464</f>
        <v>151.74193548387095</v>
      </c>
      <c r="D464" s="43">
        <f ca="1">WORKDAY(Inputs!$B$3, ROUND(C464, 0),Sheet2!$A$2:$A$21)</f>
        <v>46240</v>
      </c>
    </row>
    <row r="465" spans="1:4" x14ac:dyDescent="0.25">
      <c r="A465" s="42">
        <f t="shared" si="9"/>
        <v>464</v>
      </c>
      <c r="B465" s="42" cm="1">
        <f t="array" aca="1" ref="B465" ca="1">INDEX(Historical!$A$1:$A$18, RANDBETWEEN(1, COUNTA(Historical!$A$1:$A$18)))</f>
        <v>1.5</v>
      </c>
      <c r="C465" s="42">
        <f ca="1">Inputs!$B$2/B465</f>
        <v>149.33333333333334</v>
      </c>
      <c r="D465" s="43">
        <f ca="1">WORKDAY(Inputs!$B$3, ROUND(C465, 0),Sheet2!$A$2:$A$21)</f>
        <v>46237</v>
      </c>
    </row>
    <row r="466" spans="1:4" x14ac:dyDescent="0.25">
      <c r="A466" s="42">
        <f t="shared" si="9"/>
        <v>465</v>
      </c>
      <c r="B466" s="42" cm="1">
        <f t="array" aca="1" ref="B466" ca="1">INDEX(Historical!$A$1:$A$18, RANDBETWEEN(1, COUNTA(Historical!$A$1:$A$18)))</f>
        <v>1.375</v>
      </c>
      <c r="C466" s="42">
        <f ca="1">Inputs!$B$2/B466</f>
        <v>162.90909090909091</v>
      </c>
      <c r="D466" s="43">
        <f ca="1">WORKDAY(Inputs!$B$3, ROUND(C466, 0),Sheet2!$A$2:$A$21)</f>
        <v>46255</v>
      </c>
    </row>
    <row r="467" spans="1:4" x14ac:dyDescent="0.25">
      <c r="A467" s="42">
        <f t="shared" si="9"/>
        <v>466</v>
      </c>
      <c r="B467" s="42" cm="1">
        <f t="array" aca="1" ref="B467" ca="1">INDEX(Historical!$A$1:$A$18, RANDBETWEEN(1, COUNTA(Historical!$A$1:$A$18)))</f>
        <v>1.3157894736842106</v>
      </c>
      <c r="C467" s="42">
        <f ca="1">Inputs!$B$2/B467</f>
        <v>170.23999999999998</v>
      </c>
      <c r="D467" s="43">
        <f ca="1">WORKDAY(Inputs!$B$3, ROUND(C467, 0),Sheet2!$A$2:$A$21)</f>
        <v>46266</v>
      </c>
    </row>
    <row r="468" spans="1:4" x14ac:dyDescent="0.25">
      <c r="A468" s="42">
        <f t="shared" si="9"/>
        <v>467</v>
      </c>
      <c r="B468" s="42" cm="1">
        <f t="array" aca="1" ref="B468" ca="1">INDEX(Historical!$A$1:$A$18, RANDBETWEEN(1, COUNTA(Historical!$A$1:$A$18)))</f>
        <v>1.3559322033898304</v>
      </c>
      <c r="C468" s="42">
        <f ca="1">Inputs!$B$2/B468</f>
        <v>165.20000000000002</v>
      </c>
      <c r="D468" s="43">
        <f ca="1">WORKDAY(Inputs!$B$3, ROUND(C468, 0),Sheet2!$A$2:$A$21)</f>
        <v>46259</v>
      </c>
    </row>
    <row r="469" spans="1:4" x14ac:dyDescent="0.25">
      <c r="A469" s="42">
        <f t="shared" si="9"/>
        <v>468</v>
      </c>
      <c r="B469" s="42" cm="1">
        <f t="array" aca="1" ref="B469" ca="1">INDEX(Historical!$A$1:$A$18, RANDBETWEEN(1, COUNTA(Historical!$A$1:$A$18)))</f>
        <v>1.3617021276595744</v>
      </c>
      <c r="C469" s="42">
        <f ca="1">Inputs!$B$2/B469</f>
        <v>164.5</v>
      </c>
      <c r="D469" s="43">
        <f ca="1">WORKDAY(Inputs!$B$3, ROUND(C469, 0),Sheet2!$A$2:$A$21)</f>
        <v>46259</v>
      </c>
    </row>
    <row r="470" spans="1:4" x14ac:dyDescent="0.25">
      <c r="A470" s="42">
        <f t="shared" si="9"/>
        <v>469</v>
      </c>
      <c r="B470" s="42" cm="1">
        <f t="array" aca="1" ref="B470" ca="1">INDEX(Historical!$A$1:$A$18, RANDBETWEEN(1, COUNTA(Historical!$A$1:$A$18)))</f>
        <v>1.3214285714285714</v>
      </c>
      <c r="C470" s="42">
        <f ca="1">Inputs!$B$2/B470</f>
        <v>169.51351351351352</v>
      </c>
      <c r="D470" s="43">
        <f ca="1">WORKDAY(Inputs!$B$3, ROUND(C470, 0),Sheet2!$A$2:$A$21)</f>
        <v>46266</v>
      </c>
    </row>
    <row r="471" spans="1:4" x14ac:dyDescent="0.25">
      <c r="A471" s="42">
        <f t="shared" si="9"/>
        <v>470</v>
      </c>
      <c r="B471" s="42" cm="1">
        <f t="array" aca="1" ref="B471" ca="1">INDEX(Historical!$A$1:$A$18, RANDBETWEEN(1, COUNTA(Historical!$A$1:$A$18)))</f>
        <v>1.3617021276595744</v>
      </c>
      <c r="C471" s="42">
        <f ca="1">Inputs!$B$2/B471</f>
        <v>164.5</v>
      </c>
      <c r="D471" s="43">
        <f ca="1">WORKDAY(Inputs!$B$3, ROUND(C471, 0),Sheet2!$A$2:$A$21)</f>
        <v>46259</v>
      </c>
    </row>
    <row r="472" spans="1:4" x14ac:dyDescent="0.25">
      <c r="A472" s="42">
        <f t="shared" si="9"/>
        <v>471</v>
      </c>
      <c r="B472" s="42" cm="1">
        <f t="array" aca="1" ref="B472" ca="1">INDEX(Historical!$A$1:$A$18, RANDBETWEEN(1, COUNTA(Historical!$A$1:$A$18)))</f>
        <v>1.3157894736842106</v>
      </c>
      <c r="C472" s="42">
        <f ca="1">Inputs!$B$2/B472</f>
        <v>170.23999999999998</v>
      </c>
      <c r="D472" s="43">
        <f ca="1">WORKDAY(Inputs!$B$3, ROUND(C472, 0),Sheet2!$A$2:$A$21)</f>
        <v>46266</v>
      </c>
    </row>
    <row r="473" spans="1:4" x14ac:dyDescent="0.25">
      <c r="A473" s="42">
        <f t="shared" si="9"/>
        <v>472</v>
      </c>
      <c r="B473" s="42" cm="1">
        <f t="array" aca="1" ref="B473" ca="1">INDEX(Historical!$A$1:$A$18, RANDBETWEEN(1, COUNTA(Historical!$A$1:$A$18)))</f>
        <v>1.4761904761904763</v>
      </c>
      <c r="C473" s="42">
        <f ca="1">Inputs!$B$2/B473</f>
        <v>151.74193548387095</v>
      </c>
      <c r="D473" s="43">
        <f ca="1">WORKDAY(Inputs!$B$3, ROUND(C473, 0),Sheet2!$A$2:$A$21)</f>
        <v>46240</v>
      </c>
    </row>
    <row r="474" spans="1:4" x14ac:dyDescent="0.25">
      <c r="A474" s="42">
        <f t="shared" si="9"/>
        <v>473</v>
      </c>
      <c r="B474" s="42" cm="1">
        <f t="array" aca="1" ref="B474" ca="1">INDEX(Historical!$A$1:$A$18, RANDBETWEEN(1, COUNTA(Historical!$A$1:$A$18)))</f>
        <v>1.3157894736842106</v>
      </c>
      <c r="C474" s="42">
        <f ca="1">Inputs!$B$2/B474</f>
        <v>170.23999999999998</v>
      </c>
      <c r="D474" s="43">
        <f ca="1">WORKDAY(Inputs!$B$3, ROUND(C474, 0),Sheet2!$A$2:$A$21)</f>
        <v>46266</v>
      </c>
    </row>
    <row r="475" spans="1:4" x14ac:dyDescent="0.25">
      <c r="A475" s="42">
        <f t="shared" si="9"/>
        <v>474</v>
      </c>
      <c r="B475" s="42" cm="1">
        <f t="array" aca="1" ref="B475" ca="1">INDEX(Historical!$A$1:$A$18, RANDBETWEEN(1, COUNTA(Historical!$A$1:$A$18)))</f>
        <v>1.3559322033898304</v>
      </c>
      <c r="C475" s="42">
        <f ca="1">Inputs!$B$2/B475</f>
        <v>165.20000000000002</v>
      </c>
      <c r="D475" s="43">
        <f ca="1">WORKDAY(Inputs!$B$3, ROUND(C475, 0),Sheet2!$A$2:$A$21)</f>
        <v>46259</v>
      </c>
    </row>
    <row r="476" spans="1:4" x14ac:dyDescent="0.25">
      <c r="A476" s="42">
        <f t="shared" si="9"/>
        <v>475</v>
      </c>
      <c r="B476" s="42" cm="1">
        <f t="array" aca="1" ref="B476" ca="1">INDEX(Historical!$A$1:$A$18, RANDBETWEEN(1, COUNTA(Historical!$A$1:$A$18)))</f>
        <v>1.4347826086956521</v>
      </c>
      <c r="C476" s="42">
        <f ca="1">Inputs!$B$2/B476</f>
        <v>156.12121212121212</v>
      </c>
      <c r="D476" s="43">
        <f ca="1">WORKDAY(Inputs!$B$3, ROUND(C476, 0),Sheet2!$A$2:$A$21)</f>
        <v>46246</v>
      </c>
    </row>
    <row r="477" spans="1:4" x14ac:dyDescent="0.25">
      <c r="A477" s="42">
        <f t="shared" si="9"/>
        <v>476</v>
      </c>
      <c r="B477" s="42" cm="1">
        <f t="array" aca="1" ref="B477" ca="1">INDEX(Historical!$A$1:$A$18, RANDBETWEEN(1, COUNTA(Historical!$A$1:$A$18)))</f>
        <v>1.303030303030303</v>
      </c>
      <c r="C477" s="42">
        <f ca="1">Inputs!$B$2/B477</f>
        <v>171.90697674418604</v>
      </c>
      <c r="D477" s="43">
        <f ca="1">WORKDAY(Inputs!$B$3, ROUND(C477, 0),Sheet2!$A$2:$A$21)</f>
        <v>46268</v>
      </c>
    </row>
    <row r="478" spans="1:4" x14ac:dyDescent="0.25">
      <c r="A478" s="42">
        <f t="shared" si="9"/>
        <v>477</v>
      </c>
      <c r="B478" s="42" cm="1">
        <f t="array" aca="1" ref="B478" ca="1">INDEX(Historical!$A$1:$A$18, RANDBETWEEN(1, COUNTA(Historical!$A$1:$A$18)))</f>
        <v>1.2941176470588236</v>
      </c>
      <c r="C478" s="42">
        <f ca="1">Inputs!$B$2/B478</f>
        <v>173.09090909090909</v>
      </c>
      <c r="D478" s="43">
        <f ca="1">WORKDAY(Inputs!$B$3, ROUND(C478, 0),Sheet2!$A$2:$A$21)</f>
        <v>46269</v>
      </c>
    </row>
    <row r="479" spans="1:4" x14ac:dyDescent="0.25">
      <c r="A479" s="42">
        <f t="shared" si="9"/>
        <v>478</v>
      </c>
      <c r="B479" s="42" cm="1">
        <f t="array" aca="1" ref="B479" ca="1">INDEX(Historical!$A$1:$A$18, RANDBETWEEN(1, COUNTA(Historical!$A$1:$A$18)))</f>
        <v>1.3559322033898304</v>
      </c>
      <c r="C479" s="42">
        <f ca="1">Inputs!$B$2/B479</f>
        <v>165.20000000000002</v>
      </c>
      <c r="D479" s="43">
        <f ca="1">WORKDAY(Inputs!$B$3, ROUND(C479, 0),Sheet2!$A$2:$A$21)</f>
        <v>46259</v>
      </c>
    </row>
    <row r="480" spans="1:4" x14ac:dyDescent="0.25">
      <c r="A480" s="42">
        <f t="shared" si="9"/>
        <v>479</v>
      </c>
      <c r="B480" s="42" cm="1">
        <f t="array" aca="1" ref="B480" ca="1">INDEX(Historical!$A$1:$A$18, RANDBETWEEN(1, COUNTA(Historical!$A$1:$A$18)))</f>
        <v>1.4038461538461537</v>
      </c>
      <c r="C480" s="42">
        <f ca="1">Inputs!$B$2/B480</f>
        <v>159.56164383561645</v>
      </c>
      <c r="D480" s="43">
        <f ca="1">WORKDAY(Inputs!$B$3, ROUND(C480, 0),Sheet2!$A$2:$A$21)</f>
        <v>46252</v>
      </c>
    </row>
    <row r="481" spans="1:4" x14ac:dyDescent="0.25">
      <c r="A481" s="42">
        <f t="shared" si="9"/>
        <v>480</v>
      </c>
      <c r="B481" s="42" cm="1">
        <f t="array" aca="1" ref="B481" ca="1">INDEX(Historical!$A$1:$A$18, RANDBETWEEN(1, COUNTA(Historical!$A$1:$A$18)))</f>
        <v>1.1666666666666667</v>
      </c>
      <c r="C481" s="42">
        <f ca="1">Inputs!$B$2/B481</f>
        <v>192</v>
      </c>
      <c r="D481" s="43">
        <f ca="1">WORKDAY(Inputs!$B$3, ROUND(C481, 0),Sheet2!$A$2:$A$21)</f>
        <v>46297</v>
      </c>
    </row>
    <row r="482" spans="1:4" x14ac:dyDescent="0.25">
      <c r="A482" s="42">
        <f t="shared" si="9"/>
        <v>481</v>
      </c>
      <c r="B482" s="42" cm="1">
        <f t="array" aca="1" ref="B482" ca="1">INDEX(Historical!$A$1:$A$18, RANDBETWEEN(1, COUNTA(Historical!$A$1:$A$18)))</f>
        <v>1.4347826086956521</v>
      </c>
      <c r="C482" s="42">
        <f ca="1">Inputs!$B$2/B482</f>
        <v>156.12121212121212</v>
      </c>
      <c r="D482" s="43">
        <f ca="1">WORKDAY(Inputs!$B$3, ROUND(C482, 0),Sheet2!$A$2:$A$21)</f>
        <v>46246</v>
      </c>
    </row>
    <row r="483" spans="1:4" x14ac:dyDescent="0.25">
      <c r="A483" s="42">
        <f t="shared" si="9"/>
        <v>482</v>
      </c>
      <c r="B483" s="42" cm="1">
        <f t="array" aca="1" ref="B483" ca="1">INDEX(Historical!$A$1:$A$18, RANDBETWEEN(1, COUNTA(Historical!$A$1:$A$18)))</f>
        <v>1.2941176470588236</v>
      </c>
      <c r="C483" s="42">
        <f ca="1">Inputs!$B$2/B483</f>
        <v>173.09090909090909</v>
      </c>
      <c r="D483" s="43">
        <f ca="1">WORKDAY(Inputs!$B$3, ROUND(C483, 0),Sheet2!$A$2:$A$21)</f>
        <v>46269</v>
      </c>
    </row>
    <row r="484" spans="1:4" x14ac:dyDescent="0.25">
      <c r="A484" s="42">
        <f t="shared" si="9"/>
        <v>483</v>
      </c>
      <c r="B484" s="42" cm="1">
        <f t="array" aca="1" ref="B484" ca="1">INDEX(Historical!$A$1:$A$18, RANDBETWEEN(1, COUNTA(Historical!$A$1:$A$18)))</f>
        <v>1.1666666666666667</v>
      </c>
      <c r="C484" s="42">
        <f ca="1">Inputs!$B$2/B484</f>
        <v>192</v>
      </c>
      <c r="D484" s="43">
        <f ca="1">WORKDAY(Inputs!$B$3, ROUND(C484, 0),Sheet2!$A$2:$A$21)</f>
        <v>46297</v>
      </c>
    </row>
    <row r="485" spans="1:4" x14ac:dyDescent="0.25">
      <c r="A485" s="42">
        <f t="shared" si="9"/>
        <v>484</v>
      </c>
      <c r="B485" s="42" cm="1">
        <f t="array" aca="1" ref="B485" ca="1">INDEX(Historical!$A$1:$A$18, RANDBETWEEN(1, COUNTA(Historical!$A$1:$A$18)))</f>
        <v>1.3692307692307693</v>
      </c>
      <c r="C485" s="42">
        <f ca="1">Inputs!$B$2/B485</f>
        <v>163.59550561797752</v>
      </c>
      <c r="D485" s="43">
        <f ca="1">WORKDAY(Inputs!$B$3, ROUND(C485, 0),Sheet2!$A$2:$A$21)</f>
        <v>46258</v>
      </c>
    </row>
    <row r="486" spans="1:4" x14ac:dyDescent="0.25">
      <c r="A486" s="42">
        <f t="shared" si="9"/>
        <v>485</v>
      </c>
      <c r="B486" s="42" cm="1">
        <f t="array" aca="1" ref="B486" ca="1">INDEX(Historical!$A$1:$A$18, RANDBETWEEN(1, COUNTA(Historical!$A$1:$A$18)))</f>
        <v>1.303030303030303</v>
      </c>
      <c r="C486" s="42">
        <f ca="1">Inputs!$B$2/B486</f>
        <v>171.90697674418604</v>
      </c>
      <c r="D486" s="43">
        <f ca="1">WORKDAY(Inputs!$B$3, ROUND(C486, 0),Sheet2!$A$2:$A$21)</f>
        <v>46268</v>
      </c>
    </row>
    <row r="487" spans="1:4" x14ac:dyDescent="0.25">
      <c r="A487" s="42">
        <f t="shared" si="9"/>
        <v>486</v>
      </c>
      <c r="B487" s="42" cm="1">
        <f t="array" aca="1" ref="B487" ca="1">INDEX(Historical!$A$1:$A$18, RANDBETWEEN(1, COUNTA(Historical!$A$1:$A$18)))</f>
        <v>1.3214285714285714</v>
      </c>
      <c r="C487" s="42">
        <f ca="1">Inputs!$B$2/B487</f>
        <v>169.51351351351352</v>
      </c>
      <c r="D487" s="43">
        <f ca="1">WORKDAY(Inputs!$B$3, ROUND(C487, 0),Sheet2!$A$2:$A$21)</f>
        <v>46266</v>
      </c>
    </row>
    <row r="488" spans="1:4" x14ac:dyDescent="0.25">
      <c r="A488" s="42">
        <f t="shared" si="9"/>
        <v>487</v>
      </c>
      <c r="B488" s="42" cm="1">
        <f t="array" aca="1" ref="B488" ca="1">INDEX(Historical!$A$1:$A$18, RANDBETWEEN(1, COUNTA(Historical!$A$1:$A$18)))</f>
        <v>1.1666666666666667</v>
      </c>
      <c r="C488" s="42">
        <f ca="1">Inputs!$B$2/B488</f>
        <v>192</v>
      </c>
      <c r="D488" s="43">
        <f ca="1">WORKDAY(Inputs!$B$3, ROUND(C488, 0),Sheet2!$A$2:$A$21)</f>
        <v>46297</v>
      </c>
    </row>
    <row r="489" spans="1:4" x14ac:dyDescent="0.25">
      <c r="A489" s="42">
        <f t="shared" si="9"/>
        <v>488</v>
      </c>
      <c r="B489" s="42" cm="1">
        <f t="array" aca="1" ref="B489" ca="1">INDEX(Historical!$A$1:$A$18, RANDBETWEEN(1, COUNTA(Historical!$A$1:$A$18)))</f>
        <v>1.2941176470588236</v>
      </c>
      <c r="C489" s="42">
        <f ca="1">Inputs!$B$2/B489</f>
        <v>173.09090909090909</v>
      </c>
      <c r="D489" s="43">
        <f ca="1">WORKDAY(Inputs!$B$3, ROUND(C489, 0),Sheet2!$A$2:$A$21)</f>
        <v>46269</v>
      </c>
    </row>
    <row r="490" spans="1:4" x14ac:dyDescent="0.25">
      <c r="A490" s="42">
        <f t="shared" si="9"/>
        <v>489</v>
      </c>
      <c r="B490" s="42" cm="1">
        <f t="array" aca="1" ref="B490" ca="1">INDEX(Historical!$A$1:$A$18, RANDBETWEEN(1, COUNTA(Historical!$A$1:$A$18)))</f>
        <v>1.375</v>
      </c>
      <c r="C490" s="42">
        <f ca="1">Inputs!$B$2/B490</f>
        <v>162.90909090909091</v>
      </c>
      <c r="D490" s="43">
        <f ca="1">WORKDAY(Inputs!$B$3, ROUND(C490, 0),Sheet2!$A$2:$A$21)</f>
        <v>46255</v>
      </c>
    </row>
    <row r="491" spans="1:4" x14ac:dyDescent="0.25">
      <c r="A491" s="42">
        <f t="shared" si="9"/>
        <v>490</v>
      </c>
      <c r="B491" s="42" cm="1">
        <f t="array" aca="1" ref="B491" ca="1">INDEX(Historical!$A$1:$A$18, RANDBETWEEN(1, COUNTA(Historical!$A$1:$A$18)))</f>
        <v>1.2941176470588236</v>
      </c>
      <c r="C491" s="42">
        <f ca="1">Inputs!$B$2/B491</f>
        <v>173.09090909090909</v>
      </c>
      <c r="D491" s="43">
        <f ca="1">WORKDAY(Inputs!$B$3, ROUND(C491, 0),Sheet2!$A$2:$A$21)</f>
        <v>46269</v>
      </c>
    </row>
    <row r="492" spans="1:4" x14ac:dyDescent="0.25">
      <c r="A492" s="42">
        <f t="shared" si="9"/>
        <v>491</v>
      </c>
      <c r="B492" s="42" cm="1">
        <f t="array" aca="1" ref="B492" ca="1">INDEX(Historical!$A$1:$A$18, RANDBETWEEN(1, COUNTA(Historical!$A$1:$A$18)))</f>
        <v>1.368421052631579</v>
      </c>
      <c r="C492" s="42">
        <f ca="1">Inputs!$B$2/B492</f>
        <v>163.69230769230768</v>
      </c>
      <c r="D492" s="43">
        <f ca="1">WORKDAY(Inputs!$B$3, ROUND(C492, 0),Sheet2!$A$2:$A$21)</f>
        <v>46258</v>
      </c>
    </row>
    <row r="493" spans="1:4" x14ac:dyDescent="0.25">
      <c r="A493" s="42">
        <f t="shared" si="9"/>
        <v>492</v>
      </c>
      <c r="B493" s="42" cm="1">
        <f t="array" aca="1" ref="B493" ca="1">INDEX(Historical!$A$1:$A$18, RANDBETWEEN(1, COUNTA(Historical!$A$1:$A$18)))</f>
        <v>1.303030303030303</v>
      </c>
      <c r="C493" s="42">
        <f ca="1">Inputs!$B$2/B493</f>
        <v>171.90697674418604</v>
      </c>
      <c r="D493" s="43">
        <f ca="1">WORKDAY(Inputs!$B$3, ROUND(C493, 0),Sheet2!$A$2:$A$21)</f>
        <v>46268</v>
      </c>
    </row>
    <row r="494" spans="1:4" x14ac:dyDescent="0.25">
      <c r="A494" s="42">
        <f t="shared" si="9"/>
        <v>493</v>
      </c>
      <c r="B494" s="42" cm="1">
        <f t="array" aca="1" ref="B494" ca="1">INDEX(Historical!$A$1:$A$18, RANDBETWEEN(1, COUNTA(Historical!$A$1:$A$18)))</f>
        <v>1.1666666666666667</v>
      </c>
      <c r="C494" s="42">
        <f ca="1">Inputs!$B$2/B494</f>
        <v>192</v>
      </c>
      <c r="D494" s="43">
        <f ca="1">WORKDAY(Inputs!$B$3, ROUND(C494, 0),Sheet2!$A$2:$A$21)</f>
        <v>46297</v>
      </c>
    </row>
    <row r="495" spans="1:4" x14ac:dyDescent="0.25">
      <c r="A495" s="42">
        <f t="shared" si="9"/>
        <v>494</v>
      </c>
      <c r="B495" s="42" cm="1">
        <f t="array" aca="1" ref="B495" ca="1">INDEX(Historical!$A$1:$A$18, RANDBETWEEN(1, COUNTA(Historical!$A$1:$A$18)))</f>
        <v>1.5</v>
      </c>
      <c r="C495" s="42">
        <f ca="1">Inputs!$B$2/B495</f>
        <v>149.33333333333334</v>
      </c>
      <c r="D495" s="43">
        <f ca="1">WORKDAY(Inputs!$B$3, ROUND(C495, 0),Sheet2!$A$2:$A$21)</f>
        <v>46237</v>
      </c>
    </row>
    <row r="496" spans="1:4" x14ac:dyDescent="0.25">
      <c r="A496" s="42">
        <f t="shared" si="9"/>
        <v>495</v>
      </c>
      <c r="B496" s="42" cm="1">
        <f t="array" aca="1" ref="B496" ca="1">INDEX(Historical!$A$1:$A$18, RANDBETWEEN(1, COUNTA(Historical!$A$1:$A$18)))</f>
        <v>1.3617021276595744</v>
      </c>
      <c r="C496" s="42">
        <f ca="1">Inputs!$B$2/B496</f>
        <v>164.5</v>
      </c>
      <c r="D496" s="43">
        <f ca="1">WORKDAY(Inputs!$B$3, ROUND(C496, 0),Sheet2!$A$2:$A$21)</f>
        <v>46259</v>
      </c>
    </row>
    <row r="497" spans="1:4" x14ac:dyDescent="0.25">
      <c r="A497" s="42">
        <f t="shared" si="9"/>
        <v>496</v>
      </c>
      <c r="B497" s="42" cm="1">
        <f t="array" aca="1" ref="B497" ca="1">INDEX(Historical!$A$1:$A$18, RANDBETWEEN(1, COUNTA(Historical!$A$1:$A$18)))</f>
        <v>1.4761904761904763</v>
      </c>
      <c r="C497" s="42">
        <f ca="1">Inputs!$B$2/B497</f>
        <v>151.74193548387095</v>
      </c>
      <c r="D497" s="43">
        <f ca="1">WORKDAY(Inputs!$B$3, ROUND(C497, 0),Sheet2!$A$2:$A$21)</f>
        <v>46240</v>
      </c>
    </row>
    <row r="498" spans="1:4" x14ac:dyDescent="0.25">
      <c r="A498" s="42">
        <f t="shared" si="9"/>
        <v>497</v>
      </c>
      <c r="B498" s="42" cm="1">
        <f t="array" aca="1" ref="B498" ca="1">INDEX(Historical!$A$1:$A$18, RANDBETWEEN(1, COUNTA(Historical!$A$1:$A$18)))</f>
        <v>1.3692307692307693</v>
      </c>
      <c r="C498" s="42">
        <f ca="1">Inputs!$B$2/B498</f>
        <v>163.59550561797752</v>
      </c>
      <c r="D498" s="43">
        <f ca="1">WORKDAY(Inputs!$B$3, ROUND(C498, 0),Sheet2!$A$2:$A$21)</f>
        <v>46258</v>
      </c>
    </row>
    <row r="499" spans="1:4" x14ac:dyDescent="0.25">
      <c r="A499" s="42">
        <f t="shared" si="9"/>
        <v>498</v>
      </c>
      <c r="B499" s="42" cm="1">
        <f t="array" aca="1" ref="B499" ca="1">INDEX(Historical!$A$1:$A$18, RANDBETWEEN(1, COUNTA(Historical!$A$1:$A$18)))</f>
        <v>1.2941176470588236</v>
      </c>
      <c r="C499" s="42">
        <f ca="1">Inputs!$B$2/B499</f>
        <v>173.09090909090909</v>
      </c>
      <c r="D499" s="43">
        <f ca="1">WORKDAY(Inputs!$B$3, ROUND(C499, 0),Sheet2!$A$2:$A$21)</f>
        <v>46269</v>
      </c>
    </row>
    <row r="500" spans="1:4" x14ac:dyDescent="0.25">
      <c r="A500" s="42">
        <f t="shared" si="9"/>
        <v>499</v>
      </c>
      <c r="B500" s="42" cm="1">
        <f t="array" aca="1" ref="B500" ca="1">INDEX(Historical!$A$1:$A$18, RANDBETWEEN(1, COUNTA(Historical!$A$1:$A$18)))</f>
        <v>1.3157894736842106</v>
      </c>
      <c r="C500" s="42">
        <f ca="1">Inputs!$B$2/B500</f>
        <v>170.23999999999998</v>
      </c>
      <c r="D500" s="43">
        <f ca="1">WORKDAY(Inputs!$B$3, ROUND(C500, 0),Sheet2!$A$2:$A$21)</f>
        <v>46266</v>
      </c>
    </row>
    <row r="501" spans="1:4" x14ac:dyDescent="0.25">
      <c r="A501" s="42">
        <f t="shared" si="9"/>
        <v>500</v>
      </c>
      <c r="B501" s="42" cm="1">
        <f t="array" aca="1" ref="B501" ca="1">INDEX(Historical!$A$1:$A$18, RANDBETWEEN(1, COUNTA(Historical!$A$1:$A$18)))</f>
        <v>1.303030303030303</v>
      </c>
      <c r="C501" s="42">
        <f ca="1">Inputs!$B$2/B501</f>
        <v>171.90697674418604</v>
      </c>
      <c r="D501" s="43">
        <f ca="1">WORKDAY(Inputs!$B$3, ROUND(C501, 0),Sheet2!$A$2:$A$21)</f>
        <v>46268</v>
      </c>
    </row>
    <row r="502" spans="1:4" x14ac:dyDescent="0.25">
      <c r="A502" s="42">
        <f t="shared" si="9"/>
        <v>501</v>
      </c>
      <c r="B502" s="42" cm="1">
        <f t="array" aca="1" ref="B502" ca="1">INDEX(Historical!$A$1:$A$18, RANDBETWEEN(1, COUNTA(Historical!$A$1:$A$18)))</f>
        <v>1.3611111111111112</v>
      </c>
      <c r="C502" s="42">
        <f ca="1">Inputs!$B$2/B502</f>
        <v>164.57142857142856</v>
      </c>
      <c r="D502" s="43">
        <f ca="1">WORKDAY(Inputs!$B$3, ROUND(C502, 0),Sheet2!$A$2:$A$21)</f>
        <v>46259</v>
      </c>
    </row>
    <row r="503" spans="1:4" x14ac:dyDescent="0.25">
      <c r="A503" s="42">
        <f t="shared" si="9"/>
        <v>502</v>
      </c>
      <c r="B503" s="42" cm="1">
        <f t="array" aca="1" ref="B503" ca="1">INDEX(Historical!$A$1:$A$18, RANDBETWEEN(1, COUNTA(Historical!$A$1:$A$18)))</f>
        <v>1.5</v>
      </c>
      <c r="C503" s="42">
        <f ca="1">Inputs!$B$2/B503</f>
        <v>149.33333333333334</v>
      </c>
      <c r="D503" s="43">
        <f ca="1">WORKDAY(Inputs!$B$3, ROUND(C503, 0),Sheet2!$A$2:$A$21)</f>
        <v>46237</v>
      </c>
    </row>
    <row r="504" spans="1:4" x14ac:dyDescent="0.25">
      <c r="A504" s="42">
        <f t="shared" si="9"/>
        <v>503</v>
      </c>
      <c r="B504" s="42" cm="1">
        <f t="array" aca="1" ref="B504" ca="1">INDEX(Historical!$A$1:$A$18, RANDBETWEEN(1, COUNTA(Historical!$A$1:$A$18)))</f>
        <v>1.1666666666666667</v>
      </c>
      <c r="C504" s="42">
        <f ca="1">Inputs!$B$2/B504</f>
        <v>192</v>
      </c>
      <c r="D504" s="43">
        <f ca="1">WORKDAY(Inputs!$B$3, ROUND(C504, 0),Sheet2!$A$2:$A$21)</f>
        <v>46297</v>
      </c>
    </row>
    <row r="505" spans="1:4" x14ac:dyDescent="0.25">
      <c r="A505" s="42">
        <f t="shared" si="9"/>
        <v>504</v>
      </c>
      <c r="B505" s="42" cm="1">
        <f t="array" aca="1" ref="B505" ca="1">INDEX(Historical!$A$1:$A$18, RANDBETWEEN(1, COUNTA(Historical!$A$1:$A$18)))</f>
        <v>1.2941176470588236</v>
      </c>
      <c r="C505" s="42">
        <f ca="1">Inputs!$B$2/B505</f>
        <v>173.09090909090909</v>
      </c>
      <c r="D505" s="43">
        <f ca="1">WORKDAY(Inputs!$B$3, ROUND(C505, 0),Sheet2!$A$2:$A$21)</f>
        <v>46269</v>
      </c>
    </row>
    <row r="506" spans="1:4" x14ac:dyDescent="0.25">
      <c r="A506" s="42">
        <f t="shared" si="9"/>
        <v>505</v>
      </c>
      <c r="B506" s="42" cm="1">
        <f t="array" aca="1" ref="B506" ca="1">INDEX(Historical!$A$1:$A$18, RANDBETWEEN(1, COUNTA(Historical!$A$1:$A$18)))</f>
        <v>1.1666666666666667</v>
      </c>
      <c r="C506" s="42">
        <f ca="1">Inputs!$B$2/B506</f>
        <v>192</v>
      </c>
      <c r="D506" s="43">
        <f ca="1">WORKDAY(Inputs!$B$3, ROUND(C506, 0),Sheet2!$A$2:$A$21)</f>
        <v>46297</v>
      </c>
    </row>
    <row r="507" spans="1:4" x14ac:dyDescent="0.25">
      <c r="A507" s="42">
        <f t="shared" si="9"/>
        <v>506</v>
      </c>
      <c r="B507" s="42" cm="1">
        <f t="array" aca="1" ref="B507" ca="1">INDEX(Historical!$A$1:$A$18, RANDBETWEEN(1, COUNTA(Historical!$A$1:$A$18)))</f>
        <v>1.1666666666666667</v>
      </c>
      <c r="C507" s="42">
        <f ca="1">Inputs!$B$2/B507</f>
        <v>192</v>
      </c>
      <c r="D507" s="43">
        <f ca="1">WORKDAY(Inputs!$B$3, ROUND(C507, 0),Sheet2!$A$2:$A$21)</f>
        <v>46297</v>
      </c>
    </row>
    <row r="508" spans="1:4" x14ac:dyDescent="0.25">
      <c r="A508" s="42">
        <f t="shared" si="9"/>
        <v>507</v>
      </c>
      <c r="B508" s="42" cm="1">
        <f t="array" aca="1" ref="B508" ca="1">INDEX(Historical!$A$1:$A$18, RANDBETWEEN(1, COUNTA(Historical!$A$1:$A$18)))</f>
        <v>1.3692307692307693</v>
      </c>
      <c r="C508" s="42">
        <f ca="1">Inputs!$B$2/B508</f>
        <v>163.59550561797752</v>
      </c>
      <c r="D508" s="43">
        <f ca="1">WORKDAY(Inputs!$B$3, ROUND(C508, 0),Sheet2!$A$2:$A$21)</f>
        <v>46258</v>
      </c>
    </row>
    <row r="509" spans="1:4" x14ac:dyDescent="0.25">
      <c r="A509" s="42">
        <f t="shared" si="9"/>
        <v>508</v>
      </c>
      <c r="B509" s="42" cm="1">
        <f t="array" aca="1" ref="B509" ca="1">INDEX(Historical!$A$1:$A$18, RANDBETWEEN(1, COUNTA(Historical!$A$1:$A$18)))</f>
        <v>1.368421052631579</v>
      </c>
      <c r="C509" s="42">
        <f ca="1">Inputs!$B$2/B509</f>
        <v>163.69230769230768</v>
      </c>
      <c r="D509" s="43">
        <f ca="1">WORKDAY(Inputs!$B$3, ROUND(C509, 0),Sheet2!$A$2:$A$21)</f>
        <v>46258</v>
      </c>
    </row>
    <row r="510" spans="1:4" x14ac:dyDescent="0.25">
      <c r="A510" s="42">
        <f t="shared" si="9"/>
        <v>509</v>
      </c>
      <c r="B510" s="42" cm="1">
        <f t="array" aca="1" ref="B510" ca="1">INDEX(Historical!$A$1:$A$18, RANDBETWEEN(1, COUNTA(Historical!$A$1:$A$18)))</f>
        <v>1.3157894736842106</v>
      </c>
      <c r="C510" s="42">
        <f ca="1">Inputs!$B$2/B510</f>
        <v>170.23999999999998</v>
      </c>
      <c r="D510" s="43">
        <f ca="1">WORKDAY(Inputs!$B$3, ROUND(C510, 0),Sheet2!$A$2:$A$21)</f>
        <v>46266</v>
      </c>
    </row>
    <row r="511" spans="1:4" x14ac:dyDescent="0.25">
      <c r="A511" s="42">
        <f t="shared" si="9"/>
        <v>510</v>
      </c>
      <c r="B511" s="42" cm="1">
        <f t="array" aca="1" ref="B511" ca="1">INDEX(Historical!$A$1:$A$18, RANDBETWEEN(1, COUNTA(Historical!$A$1:$A$18)))</f>
        <v>1.4347826086956521</v>
      </c>
      <c r="C511" s="42">
        <f ca="1">Inputs!$B$2/B511</f>
        <v>156.12121212121212</v>
      </c>
      <c r="D511" s="43">
        <f ca="1">WORKDAY(Inputs!$B$3, ROUND(C511, 0),Sheet2!$A$2:$A$21)</f>
        <v>46246</v>
      </c>
    </row>
    <row r="512" spans="1:4" x14ac:dyDescent="0.25">
      <c r="A512" s="42">
        <f t="shared" si="9"/>
        <v>511</v>
      </c>
      <c r="B512" s="42" cm="1">
        <f t="array" aca="1" ref="B512" ca="1">INDEX(Historical!$A$1:$A$18, RANDBETWEEN(1, COUNTA(Historical!$A$1:$A$18)))</f>
        <v>1.3611111111111112</v>
      </c>
      <c r="C512" s="42">
        <f ca="1">Inputs!$B$2/B512</f>
        <v>164.57142857142856</v>
      </c>
      <c r="D512" s="43">
        <f ca="1">WORKDAY(Inputs!$B$3, ROUND(C512, 0),Sheet2!$A$2:$A$21)</f>
        <v>46259</v>
      </c>
    </row>
    <row r="513" spans="1:4" x14ac:dyDescent="0.25">
      <c r="A513" s="42">
        <f t="shared" si="9"/>
        <v>512</v>
      </c>
      <c r="B513" s="42" cm="1">
        <f t="array" aca="1" ref="B513" ca="1">INDEX(Historical!$A$1:$A$18, RANDBETWEEN(1, COUNTA(Historical!$A$1:$A$18)))</f>
        <v>1.3617021276595744</v>
      </c>
      <c r="C513" s="42">
        <f ca="1">Inputs!$B$2/B513</f>
        <v>164.5</v>
      </c>
      <c r="D513" s="43">
        <f ca="1">WORKDAY(Inputs!$B$3, ROUND(C513, 0),Sheet2!$A$2:$A$21)</f>
        <v>46259</v>
      </c>
    </row>
    <row r="514" spans="1:4" x14ac:dyDescent="0.25">
      <c r="A514" s="42">
        <f t="shared" si="9"/>
        <v>513</v>
      </c>
      <c r="B514" s="42" cm="1">
        <f t="array" aca="1" ref="B514" ca="1">INDEX(Historical!$A$1:$A$18, RANDBETWEEN(1, COUNTA(Historical!$A$1:$A$18)))</f>
        <v>1.3611111111111112</v>
      </c>
      <c r="C514" s="42">
        <f ca="1">Inputs!$B$2/B514</f>
        <v>164.57142857142856</v>
      </c>
      <c r="D514" s="43">
        <f ca="1">WORKDAY(Inputs!$B$3, ROUND(C514, 0),Sheet2!$A$2:$A$21)</f>
        <v>46259</v>
      </c>
    </row>
    <row r="515" spans="1:4" x14ac:dyDescent="0.25">
      <c r="A515" s="42">
        <f t="shared" ref="A515:A578" si="10">ROW()-1</f>
        <v>514</v>
      </c>
      <c r="B515" s="42" cm="1">
        <f t="array" aca="1" ref="B515" ca="1">INDEX(Historical!$A$1:$A$18, RANDBETWEEN(1, COUNTA(Historical!$A$1:$A$18)))</f>
        <v>1.3214285714285714</v>
      </c>
      <c r="C515" s="42">
        <f ca="1">Inputs!$B$2/B515</f>
        <v>169.51351351351352</v>
      </c>
      <c r="D515" s="43">
        <f ca="1">WORKDAY(Inputs!$B$3, ROUND(C515, 0),Sheet2!$A$2:$A$21)</f>
        <v>46266</v>
      </c>
    </row>
    <row r="516" spans="1:4" x14ac:dyDescent="0.25">
      <c r="A516" s="42">
        <f t="shared" si="10"/>
        <v>515</v>
      </c>
      <c r="B516" s="42" cm="1">
        <f t="array" aca="1" ref="B516" ca="1">INDEX(Historical!$A$1:$A$18, RANDBETWEEN(1, COUNTA(Historical!$A$1:$A$18)))</f>
        <v>1.368421052631579</v>
      </c>
      <c r="C516" s="42">
        <f ca="1">Inputs!$B$2/B516</f>
        <v>163.69230769230768</v>
      </c>
      <c r="D516" s="43">
        <f ca="1">WORKDAY(Inputs!$B$3, ROUND(C516, 0),Sheet2!$A$2:$A$21)</f>
        <v>46258</v>
      </c>
    </row>
    <row r="517" spans="1:4" x14ac:dyDescent="0.25">
      <c r="A517" s="42">
        <f t="shared" si="10"/>
        <v>516</v>
      </c>
      <c r="B517" s="42" cm="1">
        <f t="array" aca="1" ref="B517" ca="1">INDEX(Historical!$A$1:$A$18, RANDBETWEEN(1, COUNTA(Historical!$A$1:$A$18)))</f>
        <v>1.1666666666666667</v>
      </c>
      <c r="C517" s="42">
        <f ca="1">Inputs!$B$2/B517</f>
        <v>192</v>
      </c>
      <c r="D517" s="43">
        <f ca="1">WORKDAY(Inputs!$B$3, ROUND(C517, 0),Sheet2!$A$2:$A$21)</f>
        <v>46297</v>
      </c>
    </row>
    <row r="518" spans="1:4" x14ac:dyDescent="0.25">
      <c r="A518" s="42">
        <f t="shared" si="10"/>
        <v>517</v>
      </c>
      <c r="B518" s="42" cm="1">
        <f t="array" aca="1" ref="B518" ca="1">INDEX(Historical!$A$1:$A$18, RANDBETWEEN(1, COUNTA(Historical!$A$1:$A$18)))</f>
        <v>1.3611111111111112</v>
      </c>
      <c r="C518" s="42">
        <f ca="1">Inputs!$B$2/B518</f>
        <v>164.57142857142856</v>
      </c>
      <c r="D518" s="43">
        <f ca="1">WORKDAY(Inputs!$B$3, ROUND(C518, 0),Sheet2!$A$2:$A$21)</f>
        <v>46259</v>
      </c>
    </row>
    <row r="519" spans="1:4" x14ac:dyDescent="0.25">
      <c r="A519" s="42">
        <f t="shared" si="10"/>
        <v>518</v>
      </c>
      <c r="B519" s="42" cm="1">
        <f t="array" aca="1" ref="B519" ca="1">INDEX(Historical!$A$1:$A$18, RANDBETWEEN(1, COUNTA(Historical!$A$1:$A$18)))</f>
        <v>1.3214285714285714</v>
      </c>
      <c r="C519" s="42">
        <f ca="1">Inputs!$B$2/B519</f>
        <v>169.51351351351352</v>
      </c>
      <c r="D519" s="43">
        <f ca="1">WORKDAY(Inputs!$B$3, ROUND(C519, 0),Sheet2!$A$2:$A$21)</f>
        <v>46266</v>
      </c>
    </row>
    <row r="520" spans="1:4" x14ac:dyDescent="0.25">
      <c r="A520" s="42">
        <f t="shared" si="10"/>
        <v>519</v>
      </c>
      <c r="B520" s="42" cm="1">
        <f t="array" aca="1" ref="B520" ca="1">INDEX(Historical!$A$1:$A$18, RANDBETWEEN(1, COUNTA(Historical!$A$1:$A$18)))</f>
        <v>1.4761904761904763</v>
      </c>
      <c r="C520" s="42">
        <f ca="1">Inputs!$B$2/B520</f>
        <v>151.74193548387095</v>
      </c>
      <c r="D520" s="43">
        <f ca="1">WORKDAY(Inputs!$B$3, ROUND(C520, 0),Sheet2!$A$2:$A$21)</f>
        <v>46240</v>
      </c>
    </row>
    <row r="521" spans="1:4" x14ac:dyDescent="0.25">
      <c r="A521" s="42">
        <f t="shared" si="10"/>
        <v>520</v>
      </c>
      <c r="B521" s="42" cm="1">
        <f t="array" aca="1" ref="B521" ca="1">INDEX(Historical!$A$1:$A$18, RANDBETWEEN(1, COUNTA(Historical!$A$1:$A$18)))</f>
        <v>1.303030303030303</v>
      </c>
      <c r="C521" s="42">
        <f ca="1">Inputs!$B$2/B521</f>
        <v>171.90697674418604</v>
      </c>
      <c r="D521" s="43">
        <f ca="1">WORKDAY(Inputs!$B$3, ROUND(C521, 0),Sheet2!$A$2:$A$21)</f>
        <v>46268</v>
      </c>
    </row>
    <row r="522" spans="1:4" x14ac:dyDescent="0.25">
      <c r="A522" s="42">
        <f t="shared" si="10"/>
        <v>521</v>
      </c>
      <c r="B522" s="42" cm="1">
        <f t="array" aca="1" ref="B522" ca="1">INDEX(Historical!$A$1:$A$18, RANDBETWEEN(1, COUNTA(Historical!$A$1:$A$18)))</f>
        <v>1.5</v>
      </c>
      <c r="C522" s="42">
        <f ca="1">Inputs!$B$2/B522</f>
        <v>149.33333333333334</v>
      </c>
      <c r="D522" s="43">
        <f ca="1">WORKDAY(Inputs!$B$3, ROUND(C522, 0),Sheet2!$A$2:$A$21)</f>
        <v>46237</v>
      </c>
    </row>
    <row r="523" spans="1:4" x14ac:dyDescent="0.25">
      <c r="A523" s="42">
        <f t="shared" si="10"/>
        <v>522</v>
      </c>
      <c r="B523" s="42" cm="1">
        <f t="array" aca="1" ref="B523" ca="1">INDEX(Historical!$A$1:$A$18, RANDBETWEEN(1, COUNTA(Historical!$A$1:$A$18)))</f>
        <v>1.4038461538461537</v>
      </c>
      <c r="C523" s="42">
        <f ca="1">Inputs!$B$2/B523</f>
        <v>159.56164383561645</v>
      </c>
      <c r="D523" s="43">
        <f ca="1">WORKDAY(Inputs!$B$3, ROUND(C523, 0),Sheet2!$A$2:$A$21)</f>
        <v>46252</v>
      </c>
    </row>
    <row r="524" spans="1:4" x14ac:dyDescent="0.25">
      <c r="A524" s="42">
        <f t="shared" si="10"/>
        <v>523</v>
      </c>
      <c r="B524" s="42" cm="1">
        <f t="array" aca="1" ref="B524" ca="1">INDEX(Historical!$A$1:$A$18, RANDBETWEEN(1, COUNTA(Historical!$A$1:$A$18)))</f>
        <v>1.2941176470588236</v>
      </c>
      <c r="C524" s="42">
        <f ca="1">Inputs!$B$2/B524</f>
        <v>173.09090909090909</v>
      </c>
      <c r="D524" s="43">
        <f ca="1">WORKDAY(Inputs!$B$3, ROUND(C524, 0),Sheet2!$A$2:$A$21)</f>
        <v>46269</v>
      </c>
    </row>
    <row r="525" spans="1:4" x14ac:dyDescent="0.25">
      <c r="A525" s="42">
        <f t="shared" si="10"/>
        <v>524</v>
      </c>
      <c r="B525" s="42" cm="1">
        <f t="array" aca="1" ref="B525" ca="1">INDEX(Historical!$A$1:$A$18, RANDBETWEEN(1, COUNTA(Historical!$A$1:$A$18)))</f>
        <v>1.1666666666666667</v>
      </c>
      <c r="C525" s="42">
        <f ca="1">Inputs!$B$2/B525</f>
        <v>192</v>
      </c>
      <c r="D525" s="43">
        <f ca="1">WORKDAY(Inputs!$B$3, ROUND(C525, 0),Sheet2!$A$2:$A$21)</f>
        <v>46297</v>
      </c>
    </row>
    <row r="526" spans="1:4" x14ac:dyDescent="0.25">
      <c r="A526" s="42">
        <f t="shared" si="10"/>
        <v>525</v>
      </c>
      <c r="B526" s="42" cm="1">
        <f t="array" aca="1" ref="B526" ca="1">INDEX(Historical!$A$1:$A$18, RANDBETWEEN(1, COUNTA(Historical!$A$1:$A$18)))</f>
        <v>1.4761904761904763</v>
      </c>
      <c r="C526" s="42">
        <f ca="1">Inputs!$B$2/B526</f>
        <v>151.74193548387095</v>
      </c>
      <c r="D526" s="43">
        <f ca="1">WORKDAY(Inputs!$B$3, ROUND(C526, 0),Sheet2!$A$2:$A$21)</f>
        <v>46240</v>
      </c>
    </row>
    <row r="527" spans="1:4" x14ac:dyDescent="0.25">
      <c r="A527" s="42">
        <f t="shared" si="10"/>
        <v>526</v>
      </c>
      <c r="B527" s="42" cm="1">
        <f t="array" aca="1" ref="B527" ca="1">INDEX(Historical!$A$1:$A$18, RANDBETWEEN(1, COUNTA(Historical!$A$1:$A$18)))</f>
        <v>1.4761904761904763</v>
      </c>
      <c r="C527" s="42">
        <f ca="1">Inputs!$B$2/B527</f>
        <v>151.74193548387095</v>
      </c>
      <c r="D527" s="43">
        <f ca="1">WORKDAY(Inputs!$B$3, ROUND(C527, 0),Sheet2!$A$2:$A$21)</f>
        <v>46240</v>
      </c>
    </row>
    <row r="528" spans="1:4" x14ac:dyDescent="0.25">
      <c r="A528" s="42">
        <f t="shared" si="10"/>
        <v>527</v>
      </c>
      <c r="B528" s="42" cm="1">
        <f t="array" aca="1" ref="B528" ca="1">INDEX(Historical!$A$1:$A$18, RANDBETWEEN(1, COUNTA(Historical!$A$1:$A$18)))</f>
        <v>1.290909090909091</v>
      </c>
      <c r="C528" s="42">
        <f ca="1">Inputs!$B$2/B528</f>
        <v>173.52112676056336</v>
      </c>
      <c r="D528" s="43">
        <f ca="1">WORKDAY(Inputs!$B$3, ROUND(C528, 0),Sheet2!$A$2:$A$21)</f>
        <v>46273</v>
      </c>
    </row>
    <row r="529" spans="1:4" x14ac:dyDescent="0.25">
      <c r="A529" s="42">
        <f t="shared" si="10"/>
        <v>528</v>
      </c>
      <c r="B529" s="42" cm="1">
        <f t="array" aca="1" ref="B529" ca="1">INDEX(Historical!$A$1:$A$18, RANDBETWEEN(1, COUNTA(Historical!$A$1:$A$18)))</f>
        <v>1.3707865168539326</v>
      </c>
      <c r="C529" s="42">
        <f ca="1">Inputs!$B$2/B529</f>
        <v>163.40983606557376</v>
      </c>
      <c r="D529" s="43">
        <f ca="1">WORKDAY(Inputs!$B$3, ROUND(C529, 0),Sheet2!$A$2:$A$21)</f>
        <v>46255</v>
      </c>
    </row>
    <row r="530" spans="1:4" x14ac:dyDescent="0.25">
      <c r="A530" s="42">
        <f t="shared" si="10"/>
        <v>529</v>
      </c>
      <c r="B530" s="42" cm="1">
        <f t="array" aca="1" ref="B530" ca="1">INDEX(Historical!$A$1:$A$18, RANDBETWEEN(1, COUNTA(Historical!$A$1:$A$18)))</f>
        <v>1.3214285714285714</v>
      </c>
      <c r="C530" s="42">
        <f ca="1">Inputs!$B$2/B530</f>
        <v>169.51351351351352</v>
      </c>
      <c r="D530" s="43">
        <f ca="1">WORKDAY(Inputs!$B$3, ROUND(C530, 0),Sheet2!$A$2:$A$21)</f>
        <v>46266</v>
      </c>
    </row>
    <row r="531" spans="1:4" x14ac:dyDescent="0.25">
      <c r="A531" s="42">
        <f t="shared" si="10"/>
        <v>530</v>
      </c>
      <c r="B531" s="42" cm="1">
        <f t="array" aca="1" ref="B531" ca="1">INDEX(Historical!$A$1:$A$18, RANDBETWEEN(1, COUNTA(Historical!$A$1:$A$18)))</f>
        <v>1.303030303030303</v>
      </c>
      <c r="C531" s="42">
        <f ca="1">Inputs!$B$2/B531</f>
        <v>171.90697674418604</v>
      </c>
      <c r="D531" s="43">
        <f ca="1">WORKDAY(Inputs!$B$3, ROUND(C531, 0),Sheet2!$A$2:$A$21)</f>
        <v>46268</v>
      </c>
    </row>
    <row r="532" spans="1:4" x14ac:dyDescent="0.25">
      <c r="A532" s="42">
        <f t="shared" si="10"/>
        <v>531</v>
      </c>
      <c r="B532" s="42" cm="1">
        <f t="array" aca="1" ref="B532" ca="1">INDEX(Historical!$A$1:$A$18, RANDBETWEEN(1, COUNTA(Historical!$A$1:$A$18)))</f>
        <v>1.368421052631579</v>
      </c>
      <c r="C532" s="42">
        <f ca="1">Inputs!$B$2/B532</f>
        <v>163.69230769230768</v>
      </c>
      <c r="D532" s="43">
        <f ca="1">WORKDAY(Inputs!$B$3, ROUND(C532, 0),Sheet2!$A$2:$A$21)</f>
        <v>46258</v>
      </c>
    </row>
    <row r="533" spans="1:4" x14ac:dyDescent="0.25">
      <c r="A533" s="42">
        <f t="shared" si="10"/>
        <v>532</v>
      </c>
      <c r="B533" s="42" cm="1">
        <f t="array" aca="1" ref="B533" ca="1">INDEX(Historical!$A$1:$A$18, RANDBETWEEN(1, COUNTA(Historical!$A$1:$A$18)))</f>
        <v>1.303030303030303</v>
      </c>
      <c r="C533" s="42">
        <f ca="1">Inputs!$B$2/B533</f>
        <v>171.90697674418604</v>
      </c>
      <c r="D533" s="43">
        <f ca="1">WORKDAY(Inputs!$B$3, ROUND(C533, 0),Sheet2!$A$2:$A$21)</f>
        <v>46268</v>
      </c>
    </row>
    <row r="534" spans="1:4" x14ac:dyDescent="0.25">
      <c r="A534" s="42">
        <f t="shared" si="10"/>
        <v>533</v>
      </c>
      <c r="B534" s="42" cm="1">
        <f t="array" aca="1" ref="B534" ca="1">INDEX(Historical!$A$1:$A$18, RANDBETWEEN(1, COUNTA(Historical!$A$1:$A$18)))</f>
        <v>1.3214285714285714</v>
      </c>
      <c r="C534" s="42">
        <f ca="1">Inputs!$B$2/B534</f>
        <v>169.51351351351352</v>
      </c>
      <c r="D534" s="43">
        <f ca="1">WORKDAY(Inputs!$B$3, ROUND(C534, 0),Sheet2!$A$2:$A$21)</f>
        <v>46266</v>
      </c>
    </row>
    <row r="535" spans="1:4" x14ac:dyDescent="0.25">
      <c r="A535" s="42">
        <f t="shared" si="10"/>
        <v>534</v>
      </c>
      <c r="B535" s="42" cm="1">
        <f t="array" aca="1" ref="B535" ca="1">INDEX(Historical!$A$1:$A$18, RANDBETWEEN(1, COUNTA(Historical!$A$1:$A$18)))</f>
        <v>1.3707865168539326</v>
      </c>
      <c r="C535" s="42">
        <f ca="1">Inputs!$B$2/B535</f>
        <v>163.40983606557376</v>
      </c>
      <c r="D535" s="43">
        <f ca="1">WORKDAY(Inputs!$B$3, ROUND(C535, 0),Sheet2!$A$2:$A$21)</f>
        <v>46255</v>
      </c>
    </row>
    <row r="536" spans="1:4" x14ac:dyDescent="0.25">
      <c r="A536" s="42">
        <f t="shared" si="10"/>
        <v>535</v>
      </c>
      <c r="B536" s="42" cm="1">
        <f t="array" aca="1" ref="B536" ca="1">INDEX(Historical!$A$1:$A$18, RANDBETWEEN(1, COUNTA(Historical!$A$1:$A$18)))</f>
        <v>1.3214285714285714</v>
      </c>
      <c r="C536" s="42">
        <f ca="1">Inputs!$B$2/B536</f>
        <v>169.51351351351352</v>
      </c>
      <c r="D536" s="43">
        <f ca="1">WORKDAY(Inputs!$B$3, ROUND(C536, 0),Sheet2!$A$2:$A$21)</f>
        <v>46266</v>
      </c>
    </row>
    <row r="537" spans="1:4" x14ac:dyDescent="0.25">
      <c r="A537" s="42">
        <f t="shared" si="10"/>
        <v>536</v>
      </c>
      <c r="B537" s="42" cm="1">
        <f t="array" aca="1" ref="B537" ca="1">INDEX(Historical!$A$1:$A$18, RANDBETWEEN(1, COUNTA(Historical!$A$1:$A$18)))</f>
        <v>1.4137931034482758</v>
      </c>
      <c r="C537" s="42">
        <f ca="1">Inputs!$B$2/B537</f>
        <v>158.4390243902439</v>
      </c>
      <c r="D537" s="43">
        <f ca="1">WORKDAY(Inputs!$B$3, ROUND(C537, 0),Sheet2!$A$2:$A$21)</f>
        <v>46248</v>
      </c>
    </row>
    <row r="538" spans="1:4" x14ac:dyDescent="0.25">
      <c r="A538" s="42">
        <f t="shared" si="10"/>
        <v>537</v>
      </c>
      <c r="B538" s="42" cm="1">
        <f t="array" aca="1" ref="B538" ca="1">INDEX(Historical!$A$1:$A$18, RANDBETWEEN(1, COUNTA(Historical!$A$1:$A$18)))</f>
        <v>1.5</v>
      </c>
      <c r="C538" s="42">
        <f ca="1">Inputs!$B$2/B538</f>
        <v>149.33333333333334</v>
      </c>
      <c r="D538" s="43">
        <f ca="1">WORKDAY(Inputs!$B$3, ROUND(C538, 0),Sheet2!$A$2:$A$21)</f>
        <v>46237</v>
      </c>
    </row>
    <row r="539" spans="1:4" x14ac:dyDescent="0.25">
      <c r="A539" s="42">
        <f t="shared" si="10"/>
        <v>538</v>
      </c>
      <c r="B539" s="42" cm="1">
        <f t="array" aca="1" ref="B539" ca="1">INDEX(Historical!$A$1:$A$18, RANDBETWEEN(1, COUNTA(Historical!$A$1:$A$18)))</f>
        <v>1.3617021276595744</v>
      </c>
      <c r="C539" s="42">
        <f ca="1">Inputs!$B$2/B539</f>
        <v>164.5</v>
      </c>
      <c r="D539" s="43">
        <f ca="1">WORKDAY(Inputs!$B$3, ROUND(C539, 0),Sheet2!$A$2:$A$21)</f>
        <v>46259</v>
      </c>
    </row>
    <row r="540" spans="1:4" x14ac:dyDescent="0.25">
      <c r="A540" s="42">
        <f t="shared" si="10"/>
        <v>539</v>
      </c>
      <c r="B540" s="42" cm="1">
        <f t="array" aca="1" ref="B540" ca="1">INDEX(Historical!$A$1:$A$18, RANDBETWEEN(1, COUNTA(Historical!$A$1:$A$18)))</f>
        <v>1.368421052631579</v>
      </c>
      <c r="C540" s="42">
        <f ca="1">Inputs!$B$2/B540</f>
        <v>163.69230769230768</v>
      </c>
      <c r="D540" s="43">
        <f ca="1">WORKDAY(Inputs!$B$3, ROUND(C540, 0),Sheet2!$A$2:$A$21)</f>
        <v>46258</v>
      </c>
    </row>
    <row r="541" spans="1:4" x14ac:dyDescent="0.25">
      <c r="A541" s="42">
        <f t="shared" si="10"/>
        <v>540</v>
      </c>
      <c r="B541" s="42" cm="1">
        <f t="array" aca="1" ref="B541" ca="1">INDEX(Historical!$A$1:$A$18, RANDBETWEEN(1, COUNTA(Historical!$A$1:$A$18)))</f>
        <v>1.3617021276595744</v>
      </c>
      <c r="C541" s="42">
        <f ca="1">Inputs!$B$2/B541</f>
        <v>164.5</v>
      </c>
      <c r="D541" s="43">
        <f ca="1">WORKDAY(Inputs!$B$3, ROUND(C541, 0),Sheet2!$A$2:$A$21)</f>
        <v>46259</v>
      </c>
    </row>
    <row r="542" spans="1:4" x14ac:dyDescent="0.25">
      <c r="A542" s="42">
        <f t="shared" si="10"/>
        <v>541</v>
      </c>
      <c r="B542" s="42" cm="1">
        <f t="array" aca="1" ref="B542" ca="1">INDEX(Historical!$A$1:$A$18, RANDBETWEEN(1, COUNTA(Historical!$A$1:$A$18)))</f>
        <v>1.368421052631579</v>
      </c>
      <c r="C542" s="42">
        <f ca="1">Inputs!$B$2/B542</f>
        <v>163.69230769230768</v>
      </c>
      <c r="D542" s="43">
        <f ca="1">WORKDAY(Inputs!$B$3, ROUND(C542, 0),Sheet2!$A$2:$A$21)</f>
        <v>46258</v>
      </c>
    </row>
    <row r="543" spans="1:4" x14ac:dyDescent="0.25">
      <c r="A543" s="42">
        <f t="shared" si="10"/>
        <v>542</v>
      </c>
      <c r="B543" s="42" cm="1">
        <f t="array" aca="1" ref="B543" ca="1">INDEX(Historical!$A$1:$A$18, RANDBETWEEN(1, COUNTA(Historical!$A$1:$A$18)))</f>
        <v>1.3617021276595744</v>
      </c>
      <c r="C543" s="42">
        <f ca="1">Inputs!$B$2/B543</f>
        <v>164.5</v>
      </c>
      <c r="D543" s="43">
        <f ca="1">WORKDAY(Inputs!$B$3, ROUND(C543, 0),Sheet2!$A$2:$A$21)</f>
        <v>46259</v>
      </c>
    </row>
    <row r="544" spans="1:4" x14ac:dyDescent="0.25">
      <c r="A544" s="42">
        <f t="shared" si="10"/>
        <v>543</v>
      </c>
      <c r="B544" s="42" cm="1">
        <f t="array" aca="1" ref="B544" ca="1">INDEX(Historical!$A$1:$A$18, RANDBETWEEN(1, COUNTA(Historical!$A$1:$A$18)))</f>
        <v>1.368421052631579</v>
      </c>
      <c r="C544" s="42">
        <f ca="1">Inputs!$B$2/B544</f>
        <v>163.69230769230768</v>
      </c>
      <c r="D544" s="43">
        <f ca="1">WORKDAY(Inputs!$B$3, ROUND(C544, 0),Sheet2!$A$2:$A$21)</f>
        <v>46258</v>
      </c>
    </row>
    <row r="545" spans="1:4" x14ac:dyDescent="0.25">
      <c r="A545" s="42">
        <f t="shared" si="10"/>
        <v>544</v>
      </c>
      <c r="B545" s="42" cm="1">
        <f t="array" aca="1" ref="B545" ca="1">INDEX(Historical!$A$1:$A$18, RANDBETWEEN(1, COUNTA(Historical!$A$1:$A$18)))</f>
        <v>1.4137931034482758</v>
      </c>
      <c r="C545" s="42">
        <f ca="1">Inputs!$B$2/B545</f>
        <v>158.4390243902439</v>
      </c>
      <c r="D545" s="43">
        <f ca="1">WORKDAY(Inputs!$B$3, ROUND(C545, 0),Sheet2!$A$2:$A$21)</f>
        <v>46248</v>
      </c>
    </row>
    <row r="546" spans="1:4" x14ac:dyDescent="0.25">
      <c r="A546" s="42">
        <f t="shared" si="10"/>
        <v>545</v>
      </c>
      <c r="B546" s="42" cm="1">
        <f t="array" aca="1" ref="B546" ca="1">INDEX(Historical!$A$1:$A$18, RANDBETWEEN(1, COUNTA(Historical!$A$1:$A$18)))</f>
        <v>1.1666666666666667</v>
      </c>
      <c r="C546" s="42">
        <f ca="1">Inputs!$B$2/B546</f>
        <v>192</v>
      </c>
      <c r="D546" s="43">
        <f ca="1">WORKDAY(Inputs!$B$3, ROUND(C546, 0),Sheet2!$A$2:$A$21)</f>
        <v>46297</v>
      </c>
    </row>
    <row r="547" spans="1:4" x14ac:dyDescent="0.25">
      <c r="A547" s="42">
        <f t="shared" si="10"/>
        <v>546</v>
      </c>
      <c r="B547" s="42" cm="1">
        <f t="array" aca="1" ref="B547" ca="1">INDEX(Historical!$A$1:$A$18, RANDBETWEEN(1, COUNTA(Historical!$A$1:$A$18)))</f>
        <v>1.4761904761904763</v>
      </c>
      <c r="C547" s="42">
        <f ca="1">Inputs!$B$2/B547</f>
        <v>151.74193548387095</v>
      </c>
      <c r="D547" s="43">
        <f ca="1">WORKDAY(Inputs!$B$3, ROUND(C547, 0),Sheet2!$A$2:$A$21)</f>
        <v>46240</v>
      </c>
    </row>
    <row r="548" spans="1:4" x14ac:dyDescent="0.25">
      <c r="A548" s="42">
        <f t="shared" si="10"/>
        <v>547</v>
      </c>
      <c r="B548" s="42" cm="1">
        <f t="array" aca="1" ref="B548" ca="1">INDEX(Historical!$A$1:$A$18, RANDBETWEEN(1, COUNTA(Historical!$A$1:$A$18)))</f>
        <v>1.4761904761904763</v>
      </c>
      <c r="C548" s="42">
        <f ca="1">Inputs!$B$2/B548</f>
        <v>151.74193548387095</v>
      </c>
      <c r="D548" s="43">
        <f ca="1">WORKDAY(Inputs!$B$3, ROUND(C548, 0),Sheet2!$A$2:$A$21)</f>
        <v>46240</v>
      </c>
    </row>
    <row r="549" spans="1:4" x14ac:dyDescent="0.25">
      <c r="A549" s="42">
        <f t="shared" si="10"/>
        <v>548</v>
      </c>
      <c r="B549" s="42" cm="1">
        <f t="array" aca="1" ref="B549" ca="1">INDEX(Historical!$A$1:$A$18, RANDBETWEEN(1, COUNTA(Historical!$A$1:$A$18)))</f>
        <v>1.4038461538461537</v>
      </c>
      <c r="C549" s="42">
        <f ca="1">Inputs!$B$2/B549</f>
        <v>159.56164383561645</v>
      </c>
      <c r="D549" s="43">
        <f ca="1">WORKDAY(Inputs!$B$3, ROUND(C549, 0),Sheet2!$A$2:$A$21)</f>
        <v>46252</v>
      </c>
    </row>
    <row r="550" spans="1:4" x14ac:dyDescent="0.25">
      <c r="A550" s="42">
        <f t="shared" si="10"/>
        <v>549</v>
      </c>
      <c r="B550" s="42" cm="1">
        <f t="array" aca="1" ref="B550" ca="1">INDEX(Historical!$A$1:$A$18, RANDBETWEEN(1, COUNTA(Historical!$A$1:$A$18)))</f>
        <v>1.2941176470588236</v>
      </c>
      <c r="C550" s="42">
        <f ca="1">Inputs!$B$2/B550</f>
        <v>173.09090909090909</v>
      </c>
      <c r="D550" s="43">
        <f ca="1">WORKDAY(Inputs!$B$3, ROUND(C550, 0),Sheet2!$A$2:$A$21)</f>
        <v>46269</v>
      </c>
    </row>
    <row r="551" spans="1:4" x14ac:dyDescent="0.25">
      <c r="A551" s="42">
        <f t="shared" si="10"/>
        <v>550</v>
      </c>
      <c r="B551" s="42" cm="1">
        <f t="array" aca="1" ref="B551" ca="1">INDEX(Historical!$A$1:$A$18, RANDBETWEEN(1, COUNTA(Historical!$A$1:$A$18)))</f>
        <v>1.368421052631579</v>
      </c>
      <c r="C551" s="42">
        <f ca="1">Inputs!$B$2/B551</f>
        <v>163.69230769230768</v>
      </c>
      <c r="D551" s="43">
        <f ca="1">WORKDAY(Inputs!$B$3, ROUND(C551, 0),Sheet2!$A$2:$A$21)</f>
        <v>46258</v>
      </c>
    </row>
    <row r="552" spans="1:4" x14ac:dyDescent="0.25">
      <c r="A552" s="42">
        <f t="shared" si="10"/>
        <v>551</v>
      </c>
      <c r="B552" s="42" cm="1">
        <f t="array" aca="1" ref="B552" ca="1">INDEX(Historical!$A$1:$A$18, RANDBETWEEN(1, COUNTA(Historical!$A$1:$A$18)))</f>
        <v>1.3611111111111112</v>
      </c>
      <c r="C552" s="42">
        <f ca="1">Inputs!$B$2/B552</f>
        <v>164.57142857142856</v>
      </c>
      <c r="D552" s="43">
        <f ca="1">WORKDAY(Inputs!$B$3, ROUND(C552, 0),Sheet2!$A$2:$A$21)</f>
        <v>46259</v>
      </c>
    </row>
    <row r="553" spans="1:4" x14ac:dyDescent="0.25">
      <c r="A553" s="42">
        <f t="shared" si="10"/>
        <v>552</v>
      </c>
      <c r="B553" s="42" cm="1">
        <f t="array" aca="1" ref="B553" ca="1">INDEX(Historical!$A$1:$A$18, RANDBETWEEN(1, COUNTA(Historical!$A$1:$A$18)))</f>
        <v>1.4038461538461537</v>
      </c>
      <c r="C553" s="42">
        <f ca="1">Inputs!$B$2/B553</f>
        <v>159.56164383561645</v>
      </c>
      <c r="D553" s="43">
        <f ca="1">WORKDAY(Inputs!$B$3, ROUND(C553, 0),Sheet2!$A$2:$A$21)</f>
        <v>46252</v>
      </c>
    </row>
    <row r="554" spans="1:4" x14ac:dyDescent="0.25">
      <c r="A554" s="42">
        <f t="shared" si="10"/>
        <v>553</v>
      </c>
      <c r="B554" s="42" cm="1">
        <f t="array" aca="1" ref="B554" ca="1">INDEX(Historical!$A$1:$A$18, RANDBETWEEN(1, COUNTA(Historical!$A$1:$A$18)))</f>
        <v>1.3559322033898304</v>
      </c>
      <c r="C554" s="42">
        <f ca="1">Inputs!$B$2/B554</f>
        <v>165.20000000000002</v>
      </c>
      <c r="D554" s="43">
        <f ca="1">WORKDAY(Inputs!$B$3, ROUND(C554, 0),Sheet2!$A$2:$A$21)</f>
        <v>46259</v>
      </c>
    </row>
    <row r="555" spans="1:4" x14ac:dyDescent="0.25">
      <c r="A555" s="42">
        <f t="shared" si="10"/>
        <v>554</v>
      </c>
      <c r="B555" s="42" cm="1">
        <f t="array" aca="1" ref="B555" ca="1">INDEX(Historical!$A$1:$A$18, RANDBETWEEN(1, COUNTA(Historical!$A$1:$A$18)))</f>
        <v>1.2941176470588236</v>
      </c>
      <c r="C555" s="42">
        <f ca="1">Inputs!$B$2/B555</f>
        <v>173.09090909090909</v>
      </c>
      <c r="D555" s="43">
        <f ca="1">WORKDAY(Inputs!$B$3, ROUND(C555, 0),Sheet2!$A$2:$A$21)</f>
        <v>46269</v>
      </c>
    </row>
    <row r="556" spans="1:4" x14ac:dyDescent="0.25">
      <c r="A556" s="42">
        <f t="shared" si="10"/>
        <v>555</v>
      </c>
      <c r="B556" s="42" cm="1">
        <f t="array" aca="1" ref="B556" ca="1">INDEX(Historical!$A$1:$A$18, RANDBETWEEN(1, COUNTA(Historical!$A$1:$A$18)))</f>
        <v>1.290909090909091</v>
      </c>
      <c r="C556" s="42">
        <f ca="1">Inputs!$B$2/B556</f>
        <v>173.52112676056336</v>
      </c>
      <c r="D556" s="43">
        <f ca="1">WORKDAY(Inputs!$B$3, ROUND(C556, 0),Sheet2!$A$2:$A$21)</f>
        <v>46273</v>
      </c>
    </row>
    <row r="557" spans="1:4" x14ac:dyDescent="0.25">
      <c r="A557" s="42">
        <f t="shared" si="10"/>
        <v>556</v>
      </c>
      <c r="B557" s="42" cm="1">
        <f t="array" aca="1" ref="B557" ca="1">INDEX(Historical!$A$1:$A$18, RANDBETWEEN(1, COUNTA(Historical!$A$1:$A$18)))</f>
        <v>1.375</v>
      </c>
      <c r="C557" s="42">
        <f ca="1">Inputs!$B$2/B557</f>
        <v>162.90909090909091</v>
      </c>
      <c r="D557" s="43">
        <f ca="1">WORKDAY(Inputs!$B$3, ROUND(C557, 0),Sheet2!$A$2:$A$21)</f>
        <v>46255</v>
      </c>
    </row>
    <row r="558" spans="1:4" x14ac:dyDescent="0.25">
      <c r="A558" s="42">
        <f t="shared" si="10"/>
        <v>557</v>
      </c>
      <c r="B558" s="42" cm="1">
        <f t="array" aca="1" ref="B558" ca="1">INDEX(Historical!$A$1:$A$18, RANDBETWEEN(1, COUNTA(Historical!$A$1:$A$18)))</f>
        <v>1.3707865168539326</v>
      </c>
      <c r="C558" s="42">
        <f ca="1">Inputs!$B$2/B558</f>
        <v>163.40983606557376</v>
      </c>
      <c r="D558" s="43">
        <f ca="1">WORKDAY(Inputs!$B$3, ROUND(C558, 0),Sheet2!$A$2:$A$21)</f>
        <v>46255</v>
      </c>
    </row>
    <row r="559" spans="1:4" x14ac:dyDescent="0.25">
      <c r="A559" s="42">
        <f t="shared" si="10"/>
        <v>558</v>
      </c>
      <c r="B559" s="42" cm="1">
        <f t="array" aca="1" ref="B559" ca="1">INDEX(Historical!$A$1:$A$18, RANDBETWEEN(1, COUNTA(Historical!$A$1:$A$18)))</f>
        <v>1.303030303030303</v>
      </c>
      <c r="C559" s="42">
        <f ca="1">Inputs!$B$2/B559</f>
        <v>171.90697674418604</v>
      </c>
      <c r="D559" s="43">
        <f ca="1">WORKDAY(Inputs!$B$3, ROUND(C559, 0),Sheet2!$A$2:$A$21)</f>
        <v>46268</v>
      </c>
    </row>
    <row r="560" spans="1:4" x14ac:dyDescent="0.25">
      <c r="A560" s="42">
        <f t="shared" si="10"/>
        <v>559</v>
      </c>
      <c r="B560" s="42" cm="1">
        <f t="array" aca="1" ref="B560" ca="1">INDEX(Historical!$A$1:$A$18, RANDBETWEEN(1, COUNTA(Historical!$A$1:$A$18)))</f>
        <v>1.5</v>
      </c>
      <c r="C560" s="42">
        <f ca="1">Inputs!$B$2/B560</f>
        <v>149.33333333333334</v>
      </c>
      <c r="D560" s="43">
        <f ca="1">WORKDAY(Inputs!$B$3, ROUND(C560, 0),Sheet2!$A$2:$A$21)</f>
        <v>46237</v>
      </c>
    </row>
    <row r="561" spans="1:4" x14ac:dyDescent="0.25">
      <c r="A561" s="42">
        <f t="shared" si="10"/>
        <v>560</v>
      </c>
      <c r="B561" s="42" cm="1">
        <f t="array" aca="1" ref="B561" ca="1">INDEX(Historical!$A$1:$A$18, RANDBETWEEN(1, COUNTA(Historical!$A$1:$A$18)))</f>
        <v>1.375</v>
      </c>
      <c r="C561" s="42">
        <f ca="1">Inputs!$B$2/B561</f>
        <v>162.90909090909091</v>
      </c>
      <c r="D561" s="43">
        <f ca="1">WORKDAY(Inputs!$B$3, ROUND(C561, 0),Sheet2!$A$2:$A$21)</f>
        <v>46255</v>
      </c>
    </row>
    <row r="562" spans="1:4" x14ac:dyDescent="0.25">
      <c r="A562" s="42">
        <f t="shared" si="10"/>
        <v>561</v>
      </c>
      <c r="B562" s="42" cm="1">
        <f t="array" aca="1" ref="B562" ca="1">INDEX(Historical!$A$1:$A$18, RANDBETWEEN(1, COUNTA(Historical!$A$1:$A$18)))</f>
        <v>1.3157894736842106</v>
      </c>
      <c r="C562" s="42">
        <f ca="1">Inputs!$B$2/B562</f>
        <v>170.23999999999998</v>
      </c>
      <c r="D562" s="43">
        <f ca="1">WORKDAY(Inputs!$B$3, ROUND(C562, 0),Sheet2!$A$2:$A$21)</f>
        <v>46266</v>
      </c>
    </row>
    <row r="563" spans="1:4" x14ac:dyDescent="0.25">
      <c r="A563" s="42">
        <f t="shared" si="10"/>
        <v>562</v>
      </c>
      <c r="B563" s="42" cm="1">
        <f t="array" aca="1" ref="B563" ca="1">INDEX(Historical!$A$1:$A$18, RANDBETWEEN(1, COUNTA(Historical!$A$1:$A$18)))</f>
        <v>1.3611111111111112</v>
      </c>
      <c r="C563" s="42">
        <f ca="1">Inputs!$B$2/B563</f>
        <v>164.57142857142856</v>
      </c>
      <c r="D563" s="43">
        <f ca="1">WORKDAY(Inputs!$B$3, ROUND(C563, 0),Sheet2!$A$2:$A$21)</f>
        <v>46259</v>
      </c>
    </row>
    <row r="564" spans="1:4" x14ac:dyDescent="0.25">
      <c r="A564" s="42">
        <f t="shared" si="10"/>
        <v>563</v>
      </c>
      <c r="B564" s="42" cm="1">
        <f t="array" aca="1" ref="B564" ca="1">INDEX(Historical!$A$1:$A$18, RANDBETWEEN(1, COUNTA(Historical!$A$1:$A$18)))</f>
        <v>1.4137931034482758</v>
      </c>
      <c r="C564" s="42">
        <f ca="1">Inputs!$B$2/B564</f>
        <v>158.4390243902439</v>
      </c>
      <c r="D564" s="43">
        <f ca="1">WORKDAY(Inputs!$B$3, ROUND(C564, 0),Sheet2!$A$2:$A$21)</f>
        <v>46248</v>
      </c>
    </row>
    <row r="565" spans="1:4" x14ac:dyDescent="0.25">
      <c r="A565" s="42">
        <f t="shared" si="10"/>
        <v>564</v>
      </c>
      <c r="B565" s="42" cm="1">
        <f t="array" aca="1" ref="B565" ca="1">INDEX(Historical!$A$1:$A$18, RANDBETWEEN(1, COUNTA(Historical!$A$1:$A$18)))</f>
        <v>1.3707865168539326</v>
      </c>
      <c r="C565" s="42">
        <f ca="1">Inputs!$B$2/B565</f>
        <v>163.40983606557376</v>
      </c>
      <c r="D565" s="43">
        <f ca="1">WORKDAY(Inputs!$B$3, ROUND(C565, 0),Sheet2!$A$2:$A$21)</f>
        <v>46255</v>
      </c>
    </row>
    <row r="566" spans="1:4" x14ac:dyDescent="0.25">
      <c r="A566" s="42">
        <f t="shared" si="10"/>
        <v>565</v>
      </c>
      <c r="B566" s="42" cm="1">
        <f t="array" aca="1" ref="B566" ca="1">INDEX(Historical!$A$1:$A$18, RANDBETWEEN(1, COUNTA(Historical!$A$1:$A$18)))</f>
        <v>1.3617021276595744</v>
      </c>
      <c r="C566" s="42">
        <f ca="1">Inputs!$B$2/B566</f>
        <v>164.5</v>
      </c>
      <c r="D566" s="43">
        <f ca="1">WORKDAY(Inputs!$B$3, ROUND(C566, 0),Sheet2!$A$2:$A$21)</f>
        <v>46259</v>
      </c>
    </row>
    <row r="567" spans="1:4" x14ac:dyDescent="0.25">
      <c r="A567" s="42">
        <f t="shared" si="10"/>
        <v>566</v>
      </c>
      <c r="B567" s="42" cm="1">
        <f t="array" aca="1" ref="B567" ca="1">INDEX(Historical!$A$1:$A$18, RANDBETWEEN(1, COUNTA(Historical!$A$1:$A$18)))</f>
        <v>1.3559322033898304</v>
      </c>
      <c r="C567" s="42">
        <f ca="1">Inputs!$B$2/B567</f>
        <v>165.20000000000002</v>
      </c>
      <c r="D567" s="43">
        <f ca="1">WORKDAY(Inputs!$B$3, ROUND(C567, 0),Sheet2!$A$2:$A$21)</f>
        <v>46259</v>
      </c>
    </row>
    <row r="568" spans="1:4" x14ac:dyDescent="0.25">
      <c r="A568" s="42">
        <f t="shared" si="10"/>
        <v>567</v>
      </c>
      <c r="B568" s="42" cm="1">
        <f t="array" aca="1" ref="B568" ca="1">INDEX(Historical!$A$1:$A$18, RANDBETWEEN(1, COUNTA(Historical!$A$1:$A$18)))</f>
        <v>1.368421052631579</v>
      </c>
      <c r="C568" s="42">
        <f ca="1">Inputs!$B$2/B568</f>
        <v>163.69230769230768</v>
      </c>
      <c r="D568" s="43">
        <f ca="1">WORKDAY(Inputs!$B$3, ROUND(C568, 0),Sheet2!$A$2:$A$21)</f>
        <v>46258</v>
      </c>
    </row>
    <row r="569" spans="1:4" x14ac:dyDescent="0.25">
      <c r="A569" s="42">
        <f t="shared" si="10"/>
        <v>568</v>
      </c>
      <c r="B569" s="42" cm="1">
        <f t="array" aca="1" ref="B569" ca="1">INDEX(Historical!$A$1:$A$18, RANDBETWEEN(1, COUNTA(Historical!$A$1:$A$18)))</f>
        <v>1.4038461538461537</v>
      </c>
      <c r="C569" s="42">
        <f ca="1">Inputs!$B$2/B569</f>
        <v>159.56164383561645</v>
      </c>
      <c r="D569" s="43">
        <f ca="1">WORKDAY(Inputs!$B$3, ROUND(C569, 0),Sheet2!$A$2:$A$21)</f>
        <v>46252</v>
      </c>
    </row>
    <row r="570" spans="1:4" x14ac:dyDescent="0.25">
      <c r="A570" s="42">
        <f t="shared" si="10"/>
        <v>569</v>
      </c>
      <c r="B570" s="42" cm="1">
        <f t="array" aca="1" ref="B570" ca="1">INDEX(Historical!$A$1:$A$18, RANDBETWEEN(1, COUNTA(Historical!$A$1:$A$18)))</f>
        <v>1.368421052631579</v>
      </c>
      <c r="C570" s="42">
        <f ca="1">Inputs!$B$2/B570</f>
        <v>163.69230769230768</v>
      </c>
      <c r="D570" s="43">
        <f ca="1">WORKDAY(Inputs!$B$3, ROUND(C570, 0),Sheet2!$A$2:$A$21)</f>
        <v>46258</v>
      </c>
    </row>
    <row r="571" spans="1:4" x14ac:dyDescent="0.25">
      <c r="A571" s="42">
        <f t="shared" si="10"/>
        <v>570</v>
      </c>
      <c r="B571" s="42" cm="1">
        <f t="array" aca="1" ref="B571" ca="1">INDEX(Historical!$A$1:$A$18, RANDBETWEEN(1, COUNTA(Historical!$A$1:$A$18)))</f>
        <v>1.4137931034482758</v>
      </c>
      <c r="C571" s="42">
        <f ca="1">Inputs!$B$2/B571</f>
        <v>158.4390243902439</v>
      </c>
      <c r="D571" s="43">
        <f ca="1">WORKDAY(Inputs!$B$3, ROUND(C571, 0),Sheet2!$A$2:$A$21)</f>
        <v>46248</v>
      </c>
    </row>
    <row r="572" spans="1:4" x14ac:dyDescent="0.25">
      <c r="A572" s="42">
        <f t="shared" si="10"/>
        <v>571</v>
      </c>
      <c r="B572" s="42" cm="1">
        <f t="array" aca="1" ref="B572" ca="1">INDEX(Historical!$A$1:$A$18, RANDBETWEEN(1, COUNTA(Historical!$A$1:$A$18)))</f>
        <v>1.4137931034482758</v>
      </c>
      <c r="C572" s="42">
        <f ca="1">Inputs!$B$2/B572</f>
        <v>158.4390243902439</v>
      </c>
      <c r="D572" s="43">
        <f ca="1">WORKDAY(Inputs!$B$3, ROUND(C572, 0),Sheet2!$A$2:$A$21)</f>
        <v>46248</v>
      </c>
    </row>
    <row r="573" spans="1:4" x14ac:dyDescent="0.25">
      <c r="A573" s="42">
        <f t="shared" si="10"/>
        <v>572</v>
      </c>
      <c r="B573" s="42" cm="1">
        <f t="array" aca="1" ref="B573" ca="1">INDEX(Historical!$A$1:$A$18, RANDBETWEEN(1, COUNTA(Historical!$A$1:$A$18)))</f>
        <v>1.5</v>
      </c>
      <c r="C573" s="42">
        <f ca="1">Inputs!$B$2/B573</f>
        <v>149.33333333333334</v>
      </c>
      <c r="D573" s="43">
        <f ca="1">WORKDAY(Inputs!$B$3, ROUND(C573, 0),Sheet2!$A$2:$A$21)</f>
        <v>46237</v>
      </c>
    </row>
    <row r="574" spans="1:4" x14ac:dyDescent="0.25">
      <c r="A574" s="42">
        <f t="shared" si="10"/>
        <v>573</v>
      </c>
      <c r="B574" s="42" cm="1">
        <f t="array" aca="1" ref="B574" ca="1">INDEX(Historical!$A$1:$A$18, RANDBETWEEN(1, COUNTA(Historical!$A$1:$A$18)))</f>
        <v>1.3559322033898304</v>
      </c>
      <c r="C574" s="42">
        <f ca="1">Inputs!$B$2/B574</f>
        <v>165.20000000000002</v>
      </c>
      <c r="D574" s="43">
        <f ca="1">WORKDAY(Inputs!$B$3, ROUND(C574, 0),Sheet2!$A$2:$A$21)</f>
        <v>46259</v>
      </c>
    </row>
    <row r="575" spans="1:4" x14ac:dyDescent="0.25">
      <c r="A575" s="42">
        <f t="shared" si="10"/>
        <v>574</v>
      </c>
      <c r="B575" s="42" cm="1">
        <f t="array" aca="1" ref="B575" ca="1">INDEX(Historical!$A$1:$A$18, RANDBETWEEN(1, COUNTA(Historical!$A$1:$A$18)))</f>
        <v>1.3707865168539326</v>
      </c>
      <c r="C575" s="42">
        <f ca="1">Inputs!$B$2/B575</f>
        <v>163.40983606557376</v>
      </c>
      <c r="D575" s="43">
        <f ca="1">WORKDAY(Inputs!$B$3, ROUND(C575, 0),Sheet2!$A$2:$A$21)</f>
        <v>46255</v>
      </c>
    </row>
    <row r="576" spans="1:4" x14ac:dyDescent="0.25">
      <c r="A576" s="42">
        <f t="shared" si="10"/>
        <v>575</v>
      </c>
      <c r="B576" s="42" cm="1">
        <f t="array" aca="1" ref="B576" ca="1">INDEX(Historical!$A$1:$A$18, RANDBETWEEN(1, COUNTA(Historical!$A$1:$A$18)))</f>
        <v>1.3214285714285714</v>
      </c>
      <c r="C576" s="42">
        <f ca="1">Inputs!$B$2/B576</f>
        <v>169.51351351351352</v>
      </c>
      <c r="D576" s="43">
        <f ca="1">WORKDAY(Inputs!$B$3, ROUND(C576, 0),Sheet2!$A$2:$A$21)</f>
        <v>46266</v>
      </c>
    </row>
    <row r="577" spans="1:4" x14ac:dyDescent="0.25">
      <c r="A577" s="42">
        <f t="shared" si="10"/>
        <v>576</v>
      </c>
      <c r="B577" s="42" cm="1">
        <f t="array" aca="1" ref="B577" ca="1">INDEX(Historical!$A$1:$A$18, RANDBETWEEN(1, COUNTA(Historical!$A$1:$A$18)))</f>
        <v>1.3157894736842106</v>
      </c>
      <c r="C577" s="42">
        <f ca="1">Inputs!$B$2/B577</f>
        <v>170.23999999999998</v>
      </c>
      <c r="D577" s="43">
        <f ca="1">WORKDAY(Inputs!$B$3, ROUND(C577, 0),Sheet2!$A$2:$A$21)</f>
        <v>46266</v>
      </c>
    </row>
    <row r="578" spans="1:4" x14ac:dyDescent="0.25">
      <c r="A578" s="42">
        <f t="shared" si="10"/>
        <v>577</v>
      </c>
      <c r="B578" s="42" cm="1">
        <f t="array" aca="1" ref="B578" ca="1">INDEX(Historical!$A$1:$A$18, RANDBETWEEN(1, COUNTA(Historical!$A$1:$A$18)))</f>
        <v>1.2941176470588236</v>
      </c>
      <c r="C578" s="42">
        <f ca="1">Inputs!$B$2/B578</f>
        <v>173.09090909090909</v>
      </c>
      <c r="D578" s="43">
        <f ca="1">WORKDAY(Inputs!$B$3, ROUND(C578, 0),Sheet2!$A$2:$A$21)</f>
        <v>46269</v>
      </c>
    </row>
    <row r="579" spans="1:4" x14ac:dyDescent="0.25">
      <c r="A579" s="42">
        <f t="shared" ref="A579:A642" si="11">ROW()-1</f>
        <v>578</v>
      </c>
      <c r="B579" s="42" cm="1">
        <f t="array" aca="1" ref="B579" ca="1">INDEX(Historical!$A$1:$A$18, RANDBETWEEN(1, COUNTA(Historical!$A$1:$A$18)))</f>
        <v>1.3214285714285714</v>
      </c>
      <c r="C579" s="42">
        <f ca="1">Inputs!$B$2/B579</f>
        <v>169.51351351351352</v>
      </c>
      <c r="D579" s="43">
        <f ca="1">WORKDAY(Inputs!$B$3, ROUND(C579, 0),Sheet2!$A$2:$A$21)</f>
        <v>46266</v>
      </c>
    </row>
    <row r="580" spans="1:4" x14ac:dyDescent="0.25">
      <c r="A580" s="42">
        <f t="shared" si="11"/>
        <v>579</v>
      </c>
      <c r="B580" s="42" cm="1">
        <f t="array" aca="1" ref="B580" ca="1">INDEX(Historical!$A$1:$A$18, RANDBETWEEN(1, COUNTA(Historical!$A$1:$A$18)))</f>
        <v>1.3707865168539326</v>
      </c>
      <c r="C580" s="42">
        <f ca="1">Inputs!$B$2/B580</f>
        <v>163.40983606557376</v>
      </c>
      <c r="D580" s="43">
        <f ca="1">WORKDAY(Inputs!$B$3, ROUND(C580, 0),Sheet2!$A$2:$A$21)</f>
        <v>46255</v>
      </c>
    </row>
    <row r="581" spans="1:4" x14ac:dyDescent="0.25">
      <c r="A581" s="42">
        <f t="shared" si="11"/>
        <v>580</v>
      </c>
      <c r="B581" s="42" cm="1">
        <f t="array" aca="1" ref="B581" ca="1">INDEX(Historical!$A$1:$A$18, RANDBETWEEN(1, COUNTA(Historical!$A$1:$A$18)))</f>
        <v>1.375</v>
      </c>
      <c r="C581" s="42">
        <f ca="1">Inputs!$B$2/B581</f>
        <v>162.90909090909091</v>
      </c>
      <c r="D581" s="43">
        <f ca="1">WORKDAY(Inputs!$B$3, ROUND(C581, 0),Sheet2!$A$2:$A$21)</f>
        <v>46255</v>
      </c>
    </row>
    <row r="582" spans="1:4" x14ac:dyDescent="0.25">
      <c r="A582" s="42">
        <f t="shared" si="11"/>
        <v>581</v>
      </c>
      <c r="B582" s="42" cm="1">
        <f t="array" aca="1" ref="B582" ca="1">INDEX(Historical!$A$1:$A$18, RANDBETWEEN(1, COUNTA(Historical!$A$1:$A$18)))</f>
        <v>1.1666666666666667</v>
      </c>
      <c r="C582" s="42">
        <f ca="1">Inputs!$B$2/B582</f>
        <v>192</v>
      </c>
      <c r="D582" s="43">
        <f ca="1">WORKDAY(Inputs!$B$3, ROUND(C582, 0),Sheet2!$A$2:$A$21)</f>
        <v>46297</v>
      </c>
    </row>
    <row r="583" spans="1:4" x14ac:dyDescent="0.25">
      <c r="A583" s="42">
        <f t="shared" si="11"/>
        <v>582</v>
      </c>
      <c r="B583" s="42" cm="1">
        <f t="array" aca="1" ref="B583" ca="1">INDEX(Historical!$A$1:$A$18, RANDBETWEEN(1, COUNTA(Historical!$A$1:$A$18)))</f>
        <v>1.3692307692307693</v>
      </c>
      <c r="C583" s="42">
        <f ca="1">Inputs!$B$2/B583</f>
        <v>163.59550561797752</v>
      </c>
      <c r="D583" s="43">
        <f ca="1">WORKDAY(Inputs!$B$3, ROUND(C583, 0),Sheet2!$A$2:$A$21)</f>
        <v>46258</v>
      </c>
    </row>
    <row r="584" spans="1:4" x14ac:dyDescent="0.25">
      <c r="A584" s="42">
        <f t="shared" si="11"/>
        <v>583</v>
      </c>
      <c r="B584" s="42" cm="1">
        <f t="array" aca="1" ref="B584" ca="1">INDEX(Historical!$A$1:$A$18, RANDBETWEEN(1, COUNTA(Historical!$A$1:$A$18)))</f>
        <v>1.4038461538461537</v>
      </c>
      <c r="C584" s="42">
        <f ca="1">Inputs!$B$2/B584</f>
        <v>159.56164383561645</v>
      </c>
      <c r="D584" s="43">
        <f ca="1">WORKDAY(Inputs!$B$3, ROUND(C584, 0),Sheet2!$A$2:$A$21)</f>
        <v>46252</v>
      </c>
    </row>
    <row r="585" spans="1:4" x14ac:dyDescent="0.25">
      <c r="A585" s="42">
        <f t="shared" si="11"/>
        <v>584</v>
      </c>
      <c r="B585" s="42" cm="1">
        <f t="array" aca="1" ref="B585" ca="1">INDEX(Historical!$A$1:$A$18, RANDBETWEEN(1, COUNTA(Historical!$A$1:$A$18)))</f>
        <v>1.3707865168539326</v>
      </c>
      <c r="C585" s="42">
        <f ca="1">Inputs!$B$2/B585</f>
        <v>163.40983606557376</v>
      </c>
      <c r="D585" s="43">
        <f ca="1">WORKDAY(Inputs!$B$3, ROUND(C585, 0),Sheet2!$A$2:$A$21)</f>
        <v>46255</v>
      </c>
    </row>
    <row r="586" spans="1:4" x14ac:dyDescent="0.25">
      <c r="A586" s="42">
        <f t="shared" si="11"/>
        <v>585</v>
      </c>
      <c r="B586" s="42" cm="1">
        <f t="array" aca="1" ref="B586" ca="1">INDEX(Historical!$A$1:$A$18, RANDBETWEEN(1, COUNTA(Historical!$A$1:$A$18)))</f>
        <v>1.3611111111111112</v>
      </c>
      <c r="C586" s="42">
        <f ca="1">Inputs!$B$2/B586</f>
        <v>164.57142857142856</v>
      </c>
      <c r="D586" s="43">
        <f ca="1">WORKDAY(Inputs!$B$3, ROUND(C586, 0),Sheet2!$A$2:$A$21)</f>
        <v>46259</v>
      </c>
    </row>
    <row r="587" spans="1:4" x14ac:dyDescent="0.25">
      <c r="A587" s="42">
        <f t="shared" si="11"/>
        <v>586</v>
      </c>
      <c r="B587" s="42" cm="1">
        <f t="array" aca="1" ref="B587" ca="1">INDEX(Historical!$A$1:$A$18, RANDBETWEEN(1, COUNTA(Historical!$A$1:$A$18)))</f>
        <v>1.290909090909091</v>
      </c>
      <c r="C587" s="42">
        <f ca="1">Inputs!$B$2/B587</f>
        <v>173.52112676056336</v>
      </c>
      <c r="D587" s="43">
        <f ca="1">WORKDAY(Inputs!$B$3, ROUND(C587, 0),Sheet2!$A$2:$A$21)</f>
        <v>46273</v>
      </c>
    </row>
    <row r="588" spans="1:4" x14ac:dyDescent="0.25">
      <c r="A588" s="42">
        <f t="shared" si="11"/>
        <v>587</v>
      </c>
      <c r="B588" s="42" cm="1">
        <f t="array" aca="1" ref="B588" ca="1">INDEX(Historical!$A$1:$A$18, RANDBETWEEN(1, COUNTA(Historical!$A$1:$A$18)))</f>
        <v>1.1666666666666667</v>
      </c>
      <c r="C588" s="42">
        <f ca="1">Inputs!$B$2/B588</f>
        <v>192</v>
      </c>
      <c r="D588" s="43">
        <f ca="1">WORKDAY(Inputs!$B$3, ROUND(C588, 0),Sheet2!$A$2:$A$21)</f>
        <v>46297</v>
      </c>
    </row>
    <row r="589" spans="1:4" x14ac:dyDescent="0.25">
      <c r="A589" s="42">
        <f t="shared" si="11"/>
        <v>588</v>
      </c>
      <c r="B589" s="42" cm="1">
        <f t="array" aca="1" ref="B589" ca="1">INDEX(Historical!$A$1:$A$18, RANDBETWEEN(1, COUNTA(Historical!$A$1:$A$18)))</f>
        <v>1.1666666666666667</v>
      </c>
      <c r="C589" s="42">
        <f ca="1">Inputs!$B$2/B589</f>
        <v>192</v>
      </c>
      <c r="D589" s="43">
        <f ca="1">WORKDAY(Inputs!$B$3, ROUND(C589, 0),Sheet2!$A$2:$A$21)</f>
        <v>46297</v>
      </c>
    </row>
    <row r="590" spans="1:4" x14ac:dyDescent="0.25">
      <c r="A590" s="42">
        <f t="shared" si="11"/>
        <v>589</v>
      </c>
      <c r="B590" s="42" cm="1">
        <f t="array" aca="1" ref="B590" ca="1">INDEX(Historical!$A$1:$A$18, RANDBETWEEN(1, COUNTA(Historical!$A$1:$A$18)))</f>
        <v>1.303030303030303</v>
      </c>
      <c r="C590" s="42">
        <f ca="1">Inputs!$B$2/B590</f>
        <v>171.90697674418604</v>
      </c>
      <c r="D590" s="43">
        <f ca="1">WORKDAY(Inputs!$B$3, ROUND(C590, 0),Sheet2!$A$2:$A$21)</f>
        <v>46268</v>
      </c>
    </row>
    <row r="591" spans="1:4" x14ac:dyDescent="0.25">
      <c r="A591" s="42">
        <f t="shared" si="11"/>
        <v>590</v>
      </c>
      <c r="B591" s="42" cm="1">
        <f t="array" aca="1" ref="B591" ca="1">INDEX(Historical!$A$1:$A$18, RANDBETWEEN(1, COUNTA(Historical!$A$1:$A$18)))</f>
        <v>1.2941176470588236</v>
      </c>
      <c r="C591" s="42">
        <f ca="1">Inputs!$B$2/B591</f>
        <v>173.09090909090909</v>
      </c>
      <c r="D591" s="43">
        <f ca="1">WORKDAY(Inputs!$B$3, ROUND(C591, 0),Sheet2!$A$2:$A$21)</f>
        <v>46269</v>
      </c>
    </row>
    <row r="592" spans="1:4" x14ac:dyDescent="0.25">
      <c r="A592" s="42">
        <f t="shared" si="11"/>
        <v>591</v>
      </c>
      <c r="B592" s="42" cm="1">
        <f t="array" aca="1" ref="B592" ca="1">INDEX(Historical!$A$1:$A$18, RANDBETWEEN(1, COUNTA(Historical!$A$1:$A$18)))</f>
        <v>1.4347826086956521</v>
      </c>
      <c r="C592" s="42">
        <f ca="1">Inputs!$B$2/B592</f>
        <v>156.12121212121212</v>
      </c>
      <c r="D592" s="43">
        <f ca="1">WORKDAY(Inputs!$B$3, ROUND(C592, 0),Sheet2!$A$2:$A$21)</f>
        <v>46246</v>
      </c>
    </row>
    <row r="593" spans="1:4" x14ac:dyDescent="0.25">
      <c r="A593" s="42">
        <f t="shared" si="11"/>
        <v>592</v>
      </c>
      <c r="B593" s="42" cm="1">
        <f t="array" aca="1" ref="B593" ca="1">INDEX(Historical!$A$1:$A$18, RANDBETWEEN(1, COUNTA(Historical!$A$1:$A$18)))</f>
        <v>1.1666666666666667</v>
      </c>
      <c r="C593" s="42">
        <f ca="1">Inputs!$B$2/B593</f>
        <v>192</v>
      </c>
      <c r="D593" s="43">
        <f ca="1">WORKDAY(Inputs!$B$3, ROUND(C593, 0),Sheet2!$A$2:$A$21)</f>
        <v>46297</v>
      </c>
    </row>
    <row r="594" spans="1:4" x14ac:dyDescent="0.25">
      <c r="A594" s="42">
        <f t="shared" si="11"/>
        <v>593</v>
      </c>
      <c r="B594" s="42" cm="1">
        <f t="array" aca="1" ref="B594" ca="1">INDEX(Historical!$A$1:$A$18, RANDBETWEEN(1, COUNTA(Historical!$A$1:$A$18)))</f>
        <v>1.4347826086956521</v>
      </c>
      <c r="C594" s="42">
        <f ca="1">Inputs!$B$2/B594</f>
        <v>156.12121212121212</v>
      </c>
      <c r="D594" s="43">
        <f ca="1">WORKDAY(Inputs!$B$3, ROUND(C594, 0),Sheet2!$A$2:$A$21)</f>
        <v>46246</v>
      </c>
    </row>
    <row r="595" spans="1:4" x14ac:dyDescent="0.25">
      <c r="A595" s="42">
        <f t="shared" si="11"/>
        <v>594</v>
      </c>
      <c r="B595" s="42" cm="1">
        <f t="array" aca="1" ref="B595" ca="1">INDEX(Historical!$A$1:$A$18, RANDBETWEEN(1, COUNTA(Historical!$A$1:$A$18)))</f>
        <v>1.4347826086956521</v>
      </c>
      <c r="C595" s="42">
        <f ca="1">Inputs!$B$2/B595</f>
        <v>156.12121212121212</v>
      </c>
      <c r="D595" s="43">
        <f ca="1">WORKDAY(Inputs!$B$3, ROUND(C595, 0),Sheet2!$A$2:$A$21)</f>
        <v>46246</v>
      </c>
    </row>
    <row r="596" spans="1:4" x14ac:dyDescent="0.25">
      <c r="A596" s="42">
        <f t="shared" si="11"/>
        <v>595</v>
      </c>
      <c r="B596" s="42" cm="1">
        <f t="array" aca="1" ref="B596" ca="1">INDEX(Historical!$A$1:$A$18, RANDBETWEEN(1, COUNTA(Historical!$A$1:$A$18)))</f>
        <v>1.4347826086956521</v>
      </c>
      <c r="C596" s="42">
        <f ca="1">Inputs!$B$2/B596</f>
        <v>156.12121212121212</v>
      </c>
      <c r="D596" s="43">
        <f ca="1">WORKDAY(Inputs!$B$3, ROUND(C596, 0),Sheet2!$A$2:$A$21)</f>
        <v>46246</v>
      </c>
    </row>
    <row r="597" spans="1:4" x14ac:dyDescent="0.25">
      <c r="A597" s="42">
        <f t="shared" si="11"/>
        <v>596</v>
      </c>
      <c r="B597" s="42" cm="1">
        <f t="array" aca="1" ref="B597" ca="1">INDEX(Historical!$A$1:$A$18, RANDBETWEEN(1, COUNTA(Historical!$A$1:$A$18)))</f>
        <v>1.1666666666666667</v>
      </c>
      <c r="C597" s="42">
        <f ca="1">Inputs!$B$2/B597</f>
        <v>192</v>
      </c>
      <c r="D597" s="43">
        <f ca="1">WORKDAY(Inputs!$B$3, ROUND(C597, 0),Sheet2!$A$2:$A$21)</f>
        <v>46297</v>
      </c>
    </row>
    <row r="598" spans="1:4" x14ac:dyDescent="0.25">
      <c r="A598" s="42">
        <f t="shared" si="11"/>
        <v>597</v>
      </c>
      <c r="B598" s="42" cm="1">
        <f t="array" aca="1" ref="B598" ca="1">INDEX(Historical!$A$1:$A$18, RANDBETWEEN(1, COUNTA(Historical!$A$1:$A$18)))</f>
        <v>1.5</v>
      </c>
      <c r="C598" s="42">
        <f ca="1">Inputs!$B$2/B598</f>
        <v>149.33333333333334</v>
      </c>
      <c r="D598" s="43">
        <f ca="1">WORKDAY(Inputs!$B$3, ROUND(C598, 0),Sheet2!$A$2:$A$21)</f>
        <v>46237</v>
      </c>
    </row>
    <row r="599" spans="1:4" x14ac:dyDescent="0.25">
      <c r="A599" s="42">
        <f t="shared" si="11"/>
        <v>598</v>
      </c>
      <c r="B599" s="42" cm="1">
        <f t="array" aca="1" ref="B599" ca="1">INDEX(Historical!$A$1:$A$18, RANDBETWEEN(1, COUNTA(Historical!$A$1:$A$18)))</f>
        <v>1.3611111111111112</v>
      </c>
      <c r="C599" s="42">
        <f ca="1">Inputs!$B$2/B599</f>
        <v>164.57142857142856</v>
      </c>
      <c r="D599" s="43">
        <f ca="1">WORKDAY(Inputs!$B$3, ROUND(C599, 0),Sheet2!$A$2:$A$21)</f>
        <v>46259</v>
      </c>
    </row>
    <row r="600" spans="1:4" x14ac:dyDescent="0.25">
      <c r="A600" s="42">
        <f t="shared" si="11"/>
        <v>599</v>
      </c>
      <c r="B600" s="42" cm="1">
        <f t="array" aca="1" ref="B600" ca="1">INDEX(Historical!$A$1:$A$18, RANDBETWEEN(1, COUNTA(Historical!$A$1:$A$18)))</f>
        <v>1.368421052631579</v>
      </c>
      <c r="C600" s="42">
        <f ca="1">Inputs!$B$2/B600</f>
        <v>163.69230769230768</v>
      </c>
      <c r="D600" s="43">
        <f ca="1">WORKDAY(Inputs!$B$3, ROUND(C600, 0),Sheet2!$A$2:$A$21)</f>
        <v>46258</v>
      </c>
    </row>
    <row r="601" spans="1:4" x14ac:dyDescent="0.25">
      <c r="A601" s="42">
        <f t="shared" si="11"/>
        <v>600</v>
      </c>
      <c r="B601" s="42" cm="1">
        <f t="array" aca="1" ref="B601" ca="1">INDEX(Historical!$A$1:$A$18, RANDBETWEEN(1, COUNTA(Historical!$A$1:$A$18)))</f>
        <v>1.5</v>
      </c>
      <c r="C601" s="42">
        <f ca="1">Inputs!$B$2/B601</f>
        <v>149.33333333333334</v>
      </c>
      <c r="D601" s="43">
        <f ca="1">WORKDAY(Inputs!$B$3, ROUND(C601, 0),Sheet2!$A$2:$A$21)</f>
        <v>46237</v>
      </c>
    </row>
    <row r="602" spans="1:4" x14ac:dyDescent="0.25">
      <c r="A602" s="42">
        <f t="shared" si="11"/>
        <v>601</v>
      </c>
      <c r="B602" s="42" cm="1">
        <f t="array" aca="1" ref="B602" ca="1">INDEX(Historical!$A$1:$A$18, RANDBETWEEN(1, COUNTA(Historical!$A$1:$A$18)))</f>
        <v>1.4347826086956521</v>
      </c>
      <c r="C602" s="42">
        <f ca="1">Inputs!$B$2/B602</f>
        <v>156.12121212121212</v>
      </c>
      <c r="D602" s="43">
        <f ca="1">WORKDAY(Inputs!$B$3, ROUND(C602, 0),Sheet2!$A$2:$A$21)</f>
        <v>46246</v>
      </c>
    </row>
    <row r="603" spans="1:4" x14ac:dyDescent="0.25">
      <c r="A603" s="42">
        <f t="shared" si="11"/>
        <v>602</v>
      </c>
      <c r="B603" s="42" cm="1">
        <f t="array" aca="1" ref="B603" ca="1">INDEX(Historical!$A$1:$A$18, RANDBETWEEN(1, COUNTA(Historical!$A$1:$A$18)))</f>
        <v>1.1666666666666667</v>
      </c>
      <c r="C603" s="42">
        <f ca="1">Inputs!$B$2/B603</f>
        <v>192</v>
      </c>
      <c r="D603" s="43">
        <f ca="1">WORKDAY(Inputs!$B$3, ROUND(C603, 0),Sheet2!$A$2:$A$21)</f>
        <v>46297</v>
      </c>
    </row>
    <row r="604" spans="1:4" x14ac:dyDescent="0.25">
      <c r="A604" s="42">
        <f t="shared" si="11"/>
        <v>603</v>
      </c>
      <c r="B604" s="42" cm="1">
        <f t="array" aca="1" ref="B604" ca="1">INDEX(Historical!$A$1:$A$18, RANDBETWEEN(1, COUNTA(Historical!$A$1:$A$18)))</f>
        <v>1.4347826086956521</v>
      </c>
      <c r="C604" s="42">
        <f ca="1">Inputs!$B$2/B604</f>
        <v>156.12121212121212</v>
      </c>
      <c r="D604" s="43">
        <f ca="1">WORKDAY(Inputs!$B$3, ROUND(C604, 0),Sheet2!$A$2:$A$21)</f>
        <v>46246</v>
      </c>
    </row>
    <row r="605" spans="1:4" x14ac:dyDescent="0.25">
      <c r="A605" s="42">
        <f t="shared" si="11"/>
        <v>604</v>
      </c>
      <c r="B605" s="42" cm="1">
        <f t="array" aca="1" ref="B605" ca="1">INDEX(Historical!$A$1:$A$18, RANDBETWEEN(1, COUNTA(Historical!$A$1:$A$18)))</f>
        <v>1.3617021276595744</v>
      </c>
      <c r="C605" s="42">
        <f ca="1">Inputs!$B$2/B605</f>
        <v>164.5</v>
      </c>
      <c r="D605" s="43">
        <f ca="1">WORKDAY(Inputs!$B$3, ROUND(C605, 0),Sheet2!$A$2:$A$21)</f>
        <v>46259</v>
      </c>
    </row>
    <row r="606" spans="1:4" x14ac:dyDescent="0.25">
      <c r="A606" s="42">
        <f t="shared" si="11"/>
        <v>605</v>
      </c>
      <c r="B606" s="42" cm="1">
        <f t="array" aca="1" ref="B606" ca="1">INDEX(Historical!$A$1:$A$18, RANDBETWEEN(1, COUNTA(Historical!$A$1:$A$18)))</f>
        <v>1.2941176470588236</v>
      </c>
      <c r="C606" s="42">
        <f ca="1">Inputs!$B$2/B606</f>
        <v>173.09090909090909</v>
      </c>
      <c r="D606" s="43">
        <f ca="1">WORKDAY(Inputs!$B$3, ROUND(C606, 0),Sheet2!$A$2:$A$21)</f>
        <v>46269</v>
      </c>
    </row>
    <row r="607" spans="1:4" x14ac:dyDescent="0.25">
      <c r="A607" s="42">
        <f t="shared" si="11"/>
        <v>606</v>
      </c>
      <c r="B607" s="42" cm="1">
        <f t="array" aca="1" ref="B607" ca="1">INDEX(Historical!$A$1:$A$18, RANDBETWEEN(1, COUNTA(Historical!$A$1:$A$18)))</f>
        <v>1.2941176470588236</v>
      </c>
      <c r="C607" s="42">
        <f ca="1">Inputs!$B$2/B607</f>
        <v>173.09090909090909</v>
      </c>
      <c r="D607" s="43">
        <f ca="1">WORKDAY(Inputs!$B$3, ROUND(C607, 0),Sheet2!$A$2:$A$21)</f>
        <v>46269</v>
      </c>
    </row>
    <row r="608" spans="1:4" x14ac:dyDescent="0.25">
      <c r="A608" s="42">
        <f t="shared" si="11"/>
        <v>607</v>
      </c>
      <c r="B608" s="42" cm="1">
        <f t="array" aca="1" ref="B608" ca="1">INDEX(Historical!$A$1:$A$18, RANDBETWEEN(1, COUNTA(Historical!$A$1:$A$18)))</f>
        <v>1.3617021276595744</v>
      </c>
      <c r="C608" s="42">
        <f ca="1">Inputs!$B$2/B608</f>
        <v>164.5</v>
      </c>
      <c r="D608" s="43">
        <f ca="1">WORKDAY(Inputs!$B$3, ROUND(C608, 0),Sheet2!$A$2:$A$21)</f>
        <v>46259</v>
      </c>
    </row>
    <row r="609" spans="1:4" x14ac:dyDescent="0.25">
      <c r="A609" s="42">
        <f t="shared" si="11"/>
        <v>608</v>
      </c>
      <c r="B609" s="42" cm="1">
        <f t="array" aca="1" ref="B609" ca="1">INDEX(Historical!$A$1:$A$18, RANDBETWEEN(1, COUNTA(Historical!$A$1:$A$18)))</f>
        <v>1.4761904761904763</v>
      </c>
      <c r="C609" s="42">
        <f ca="1">Inputs!$B$2/B609</f>
        <v>151.74193548387095</v>
      </c>
      <c r="D609" s="43">
        <f ca="1">WORKDAY(Inputs!$B$3, ROUND(C609, 0),Sheet2!$A$2:$A$21)</f>
        <v>46240</v>
      </c>
    </row>
    <row r="610" spans="1:4" x14ac:dyDescent="0.25">
      <c r="A610" s="42">
        <f t="shared" si="11"/>
        <v>609</v>
      </c>
      <c r="B610" s="42" cm="1">
        <f t="array" aca="1" ref="B610" ca="1">INDEX(Historical!$A$1:$A$18, RANDBETWEEN(1, COUNTA(Historical!$A$1:$A$18)))</f>
        <v>1.4761904761904763</v>
      </c>
      <c r="C610" s="42">
        <f ca="1">Inputs!$B$2/B610</f>
        <v>151.74193548387095</v>
      </c>
      <c r="D610" s="43">
        <f ca="1">WORKDAY(Inputs!$B$3, ROUND(C610, 0),Sheet2!$A$2:$A$21)</f>
        <v>46240</v>
      </c>
    </row>
    <row r="611" spans="1:4" x14ac:dyDescent="0.25">
      <c r="A611" s="42">
        <f t="shared" si="11"/>
        <v>610</v>
      </c>
      <c r="B611" s="42" cm="1">
        <f t="array" aca="1" ref="B611" ca="1">INDEX(Historical!$A$1:$A$18, RANDBETWEEN(1, COUNTA(Historical!$A$1:$A$18)))</f>
        <v>1.4761904761904763</v>
      </c>
      <c r="C611" s="42">
        <f ca="1">Inputs!$B$2/B611</f>
        <v>151.74193548387095</v>
      </c>
      <c r="D611" s="43">
        <f ca="1">WORKDAY(Inputs!$B$3, ROUND(C611, 0),Sheet2!$A$2:$A$21)</f>
        <v>46240</v>
      </c>
    </row>
    <row r="612" spans="1:4" x14ac:dyDescent="0.25">
      <c r="A612" s="42">
        <f t="shared" si="11"/>
        <v>611</v>
      </c>
      <c r="B612" s="42" cm="1">
        <f t="array" aca="1" ref="B612" ca="1">INDEX(Historical!$A$1:$A$18, RANDBETWEEN(1, COUNTA(Historical!$A$1:$A$18)))</f>
        <v>1.4137931034482758</v>
      </c>
      <c r="C612" s="42">
        <f ca="1">Inputs!$B$2/B612</f>
        <v>158.4390243902439</v>
      </c>
      <c r="D612" s="43">
        <f ca="1">WORKDAY(Inputs!$B$3, ROUND(C612, 0),Sheet2!$A$2:$A$21)</f>
        <v>46248</v>
      </c>
    </row>
    <row r="613" spans="1:4" x14ac:dyDescent="0.25">
      <c r="A613" s="42">
        <f t="shared" si="11"/>
        <v>612</v>
      </c>
      <c r="B613" s="42" cm="1">
        <f t="array" aca="1" ref="B613" ca="1">INDEX(Historical!$A$1:$A$18, RANDBETWEEN(1, COUNTA(Historical!$A$1:$A$18)))</f>
        <v>1.3707865168539326</v>
      </c>
      <c r="C613" s="42">
        <f ca="1">Inputs!$B$2/B613</f>
        <v>163.40983606557376</v>
      </c>
      <c r="D613" s="43">
        <f ca="1">WORKDAY(Inputs!$B$3, ROUND(C613, 0),Sheet2!$A$2:$A$21)</f>
        <v>46255</v>
      </c>
    </row>
    <row r="614" spans="1:4" x14ac:dyDescent="0.25">
      <c r="A614" s="42">
        <f t="shared" si="11"/>
        <v>613</v>
      </c>
      <c r="B614" s="42" cm="1">
        <f t="array" aca="1" ref="B614" ca="1">INDEX(Historical!$A$1:$A$18, RANDBETWEEN(1, COUNTA(Historical!$A$1:$A$18)))</f>
        <v>1.4347826086956521</v>
      </c>
      <c r="C614" s="42">
        <f ca="1">Inputs!$B$2/B614</f>
        <v>156.12121212121212</v>
      </c>
      <c r="D614" s="43">
        <f ca="1">WORKDAY(Inputs!$B$3, ROUND(C614, 0),Sheet2!$A$2:$A$21)</f>
        <v>46246</v>
      </c>
    </row>
    <row r="615" spans="1:4" x14ac:dyDescent="0.25">
      <c r="A615" s="42">
        <f t="shared" si="11"/>
        <v>614</v>
      </c>
      <c r="B615" s="42" cm="1">
        <f t="array" aca="1" ref="B615" ca="1">INDEX(Historical!$A$1:$A$18, RANDBETWEEN(1, COUNTA(Historical!$A$1:$A$18)))</f>
        <v>1.3214285714285714</v>
      </c>
      <c r="C615" s="42">
        <f ca="1">Inputs!$B$2/B615</f>
        <v>169.51351351351352</v>
      </c>
      <c r="D615" s="43">
        <f ca="1">WORKDAY(Inputs!$B$3, ROUND(C615, 0),Sheet2!$A$2:$A$21)</f>
        <v>46266</v>
      </c>
    </row>
    <row r="616" spans="1:4" x14ac:dyDescent="0.25">
      <c r="A616" s="42">
        <f t="shared" si="11"/>
        <v>615</v>
      </c>
      <c r="B616" s="42" cm="1">
        <f t="array" aca="1" ref="B616" ca="1">INDEX(Historical!$A$1:$A$18, RANDBETWEEN(1, COUNTA(Historical!$A$1:$A$18)))</f>
        <v>1.4761904761904763</v>
      </c>
      <c r="C616" s="42">
        <f ca="1">Inputs!$B$2/B616</f>
        <v>151.74193548387095</v>
      </c>
      <c r="D616" s="43">
        <f ca="1">WORKDAY(Inputs!$B$3, ROUND(C616, 0),Sheet2!$A$2:$A$21)</f>
        <v>46240</v>
      </c>
    </row>
    <row r="617" spans="1:4" x14ac:dyDescent="0.25">
      <c r="A617" s="42">
        <f t="shared" si="11"/>
        <v>616</v>
      </c>
      <c r="B617" s="42" cm="1">
        <f t="array" aca="1" ref="B617" ca="1">INDEX(Historical!$A$1:$A$18, RANDBETWEEN(1, COUNTA(Historical!$A$1:$A$18)))</f>
        <v>1.4137931034482758</v>
      </c>
      <c r="C617" s="42">
        <f ca="1">Inputs!$B$2/B617</f>
        <v>158.4390243902439</v>
      </c>
      <c r="D617" s="43">
        <f ca="1">WORKDAY(Inputs!$B$3, ROUND(C617, 0),Sheet2!$A$2:$A$21)</f>
        <v>46248</v>
      </c>
    </row>
    <row r="618" spans="1:4" x14ac:dyDescent="0.25">
      <c r="A618" s="42">
        <f t="shared" si="11"/>
        <v>617</v>
      </c>
      <c r="B618" s="42" cm="1">
        <f t="array" aca="1" ref="B618" ca="1">INDEX(Historical!$A$1:$A$18, RANDBETWEEN(1, COUNTA(Historical!$A$1:$A$18)))</f>
        <v>1.3707865168539326</v>
      </c>
      <c r="C618" s="42">
        <f ca="1">Inputs!$B$2/B618</f>
        <v>163.40983606557376</v>
      </c>
      <c r="D618" s="43">
        <f ca="1">WORKDAY(Inputs!$B$3, ROUND(C618, 0),Sheet2!$A$2:$A$21)</f>
        <v>46255</v>
      </c>
    </row>
    <row r="619" spans="1:4" x14ac:dyDescent="0.25">
      <c r="A619" s="42">
        <f t="shared" si="11"/>
        <v>618</v>
      </c>
      <c r="B619" s="42" cm="1">
        <f t="array" aca="1" ref="B619" ca="1">INDEX(Historical!$A$1:$A$18, RANDBETWEEN(1, COUNTA(Historical!$A$1:$A$18)))</f>
        <v>1.368421052631579</v>
      </c>
      <c r="C619" s="42">
        <f ca="1">Inputs!$B$2/B619</f>
        <v>163.69230769230768</v>
      </c>
      <c r="D619" s="43">
        <f ca="1">WORKDAY(Inputs!$B$3, ROUND(C619, 0),Sheet2!$A$2:$A$21)</f>
        <v>46258</v>
      </c>
    </row>
    <row r="620" spans="1:4" x14ac:dyDescent="0.25">
      <c r="A620" s="42">
        <f t="shared" si="11"/>
        <v>619</v>
      </c>
      <c r="B620" s="42" cm="1">
        <f t="array" aca="1" ref="B620" ca="1">INDEX(Historical!$A$1:$A$18, RANDBETWEEN(1, COUNTA(Historical!$A$1:$A$18)))</f>
        <v>1.3214285714285714</v>
      </c>
      <c r="C620" s="42">
        <f ca="1">Inputs!$B$2/B620</f>
        <v>169.51351351351352</v>
      </c>
      <c r="D620" s="43">
        <f ca="1">WORKDAY(Inputs!$B$3, ROUND(C620, 0),Sheet2!$A$2:$A$21)</f>
        <v>46266</v>
      </c>
    </row>
    <row r="621" spans="1:4" x14ac:dyDescent="0.25">
      <c r="A621" s="42">
        <f t="shared" si="11"/>
        <v>620</v>
      </c>
      <c r="B621" s="42" cm="1">
        <f t="array" aca="1" ref="B621" ca="1">INDEX(Historical!$A$1:$A$18, RANDBETWEEN(1, COUNTA(Historical!$A$1:$A$18)))</f>
        <v>1.2941176470588236</v>
      </c>
      <c r="C621" s="42">
        <f ca="1">Inputs!$B$2/B621</f>
        <v>173.09090909090909</v>
      </c>
      <c r="D621" s="43">
        <f ca="1">WORKDAY(Inputs!$B$3, ROUND(C621, 0),Sheet2!$A$2:$A$21)</f>
        <v>46269</v>
      </c>
    </row>
    <row r="622" spans="1:4" x14ac:dyDescent="0.25">
      <c r="A622" s="42">
        <f t="shared" si="11"/>
        <v>621</v>
      </c>
      <c r="B622" s="42" cm="1">
        <f t="array" aca="1" ref="B622" ca="1">INDEX(Historical!$A$1:$A$18, RANDBETWEEN(1, COUNTA(Historical!$A$1:$A$18)))</f>
        <v>1.375</v>
      </c>
      <c r="C622" s="42">
        <f ca="1">Inputs!$B$2/B622</f>
        <v>162.90909090909091</v>
      </c>
      <c r="D622" s="43">
        <f ca="1">WORKDAY(Inputs!$B$3, ROUND(C622, 0),Sheet2!$A$2:$A$21)</f>
        <v>46255</v>
      </c>
    </row>
    <row r="623" spans="1:4" x14ac:dyDescent="0.25">
      <c r="A623" s="42">
        <f t="shared" si="11"/>
        <v>622</v>
      </c>
      <c r="B623" s="42" cm="1">
        <f t="array" aca="1" ref="B623" ca="1">INDEX(Historical!$A$1:$A$18, RANDBETWEEN(1, COUNTA(Historical!$A$1:$A$18)))</f>
        <v>1.3157894736842106</v>
      </c>
      <c r="C623" s="42">
        <f ca="1">Inputs!$B$2/B623</f>
        <v>170.23999999999998</v>
      </c>
      <c r="D623" s="43">
        <f ca="1">WORKDAY(Inputs!$B$3, ROUND(C623, 0),Sheet2!$A$2:$A$21)</f>
        <v>46266</v>
      </c>
    </row>
    <row r="624" spans="1:4" x14ac:dyDescent="0.25">
      <c r="A624" s="42">
        <f t="shared" si="11"/>
        <v>623</v>
      </c>
      <c r="B624" s="42" cm="1">
        <f t="array" aca="1" ref="B624" ca="1">INDEX(Historical!$A$1:$A$18, RANDBETWEEN(1, COUNTA(Historical!$A$1:$A$18)))</f>
        <v>1.303030303030303</v>
      </c>
      <c r="C624" s="42">
        <f ca="1">Inputs!$B$2/B624</f>
        <v>171.90697674418604</v>
      </c>
      <c r="D624" s="43">
        <f ca="1">WORKDAY(Inputs!$B$3, ROUND(C624, 0),Sheet2!$A$2:$A$21)</f>
        <v>46268</v>
      </c>
    </row>
    <row r="625" spans="1:4" x14ac:dyDescent="0.25">
      <c r="A625" s="42">
        <f t="shared" si="11"/>
        <v>624</v>
      </c>
      <c r="B625" s="42" cm="1">
        <f t="array" aca="1" ref="B625" ca="1">INDEX(Historical!$A$1:$A$18, RANDBETWEEN(1, COUNTA(Historical!$A$1:$A$18)))</f>
        <v>1.3157894736842106</v>
      </c>
      <c r="C625" s="42">
        <f ca="1">Inputs!$B$2/B625</f>
        <v>170.23999999999998</v>
      </c>
      <c r="D625" s="43">
        <f ca="1">WORKDAY(Inputs!$B$3, ROUND(C625, 0),Sheet2!$A$2:$A$21)</f>
        <v>46266</v>
      </c>
    </row>
    <row r="626" spans="1:4" x14ac:dyDescent="0.25">
      <c r="A626" s="42">
        <f t="shared" si="11"/>
        <v>625</v>
      </c>
      <c r="B626" s="42" cm="1">
        <f t="array" aca="1" ref="B626" ca="1">INDEX(Historical!$A$1:$A$18, RANDBETWEEN(1, COUNTA(Historical!$A$1:$A$18)))</f>
        <v>1.3157894736842106</v>
      </c>
      <c r="C626" s="42">
        <f ca="1">Inputs!$B$2/B626</f>
        <v>170.23999999999998</v>
      </c>
      <c r="D626" s="43">
        <f ca="1">WORKDAY(Inputs!$B$3, ROUND(C626, 0),Sheet2!$A$2:$A$21)</f>
        <v>46266</v>
      </c>
    </row>
    <row r="627" spans="1:4" x14ac:dyDescent="0.25">
      <c r="A627" s="42">
        <f t="shared" si="11"/>
        <v>626</v>
      </c>
      <c r="B627" s="42" cm="1">
        <f t="array" aca="1" ref="B627" ca="1">INDEX(Historical!$A$1:$A$18, RANDBETWEEN(1, COUNTA(Historical!$A$1:$A$18)))</f>
        <v>1.4137931034482758</v>
      </c>
      <c r="C627" s="42">
        <f ca="1">Inputs!$B$2/B627</f>
        <v>158.4390243902439</v>
      </c>
      <c r="D627" s="43">
        <f ca="1">WORKDAY(Inputs!$B$3, ROUND(C627, 0),Sheet2!$A$2:$A$21)</f>
        <v>46248</v>
      </c>
    </row>
    <row r="628" spans="1:4" x14ac:dyDescent="0.25">
      <c r="A628" s="42">
        <f t="shared" si="11"/>
        <v>627</v>
      </c>
      <c r="B628" s="42" cm="1">
        <f t="array" aca="1" ref="B628" ca="1">INDEX(Historical!$A$1:$A$18, RANDBETWEEN(1, COUNTA(Historical!$A$1:$A$18)))</f>
        <v>1.4347826086956521</v>
      </c>
      <c r="C628" s="42">
        <f ca="1">Inputs!$B$2/B628</f>
        <v>156.12121212121212</v>
      </c>
      <c r="D628" s="43">
        <f ca="1">WORKDAY(Inputs!$B$3, ROUND(C628, 0),Sheet2!$A$2:$A$21)</f>
        <v>46246</v>
      </c>
    </row>
    <row r="629" spans="1:4" x14ac:dyDescent="0.25">
      <c r="A629" s="42">
        <f t="shared" si="11"/>
        <v>628</v>
      </c>
      <c r="B629" s="42" cm="1">
        <f t="array" aca="1" ref="B629" ca="1">INDEX(Historical!$A$1:$A$18, RANDBETWEEN(1, COUNTA(Historical!$A$1:$A$18)))</f>
        <v>1.3707865168539326</v>
      </c>
      <c r="C629" s="42">
        <f ca="1">Inputs!$B$2/B629</f>
        <v>163.40983606557376</v>
      </c>
      <c r="D629" s="43">
        <f ca="1">WORKDAY(Inputs!$B$3, ROUND(C629, 0),Sheet2!$A$2:$A$21)</f>
        <v>46255</v>
      </c>
    </row>
    <row r="630" spans="1:4" x14ac:dyDescent="0.25">
      <c r="A630" s="42">
        <f t="shared" si="11"/>
        <v>629</v>
      </c>
      <c r="B630" s="42" cm="1">
        <f t="array" aca="1" ref="B630" ca="1">INDEX(Historical!$A$1:$A$18, RANDBETWEEN(1, COUNTA(Historical!$A$1:$A$18)))</f>
        <v>1.4761904761904763</v>
      </c>
      <c r="C630" s="42">
        <f ca="1">Inputs!$B$2/B630</f>
        <v>151.74193548387095</v>
      </c>
      <c r="D630" s="43">
        <f ca="1">WORKDAY(Inputs!$B$3, ROUND(C630, 0),Sheet2!$A$2:$A$21)</f>
        <v>46240</v>
      </c>
    </row>
    <row r="631" spans="1:4" x14ac:dyDescent="0.25">
      <c r="A631" s="42">
        <f t="shared" si="11"/>
        <v>630</v>
      </c>
      <c r="B631" s="42" cm="1">
        <f t="array" aca="1" ref="B631" ca="1">INDEX(Historical!$A$1:$A$18, RANDBETWEEN(1, COUNTA(Historical!$A$1:$A$18)))</f>
        <v>1.303030303030303</v>
      </c>
      <c r="C631" s="42">
        <f ca="1">Inputs!$B$2/B631</f>
        <v>171.90697674418604</v>
      </c>
      <c r="D631" s="43">
        <f ca="1">WORKDAY(Inputs!$B$3, ROUND(C631, 0),Sheet2!$A$2:$A$21)</f>
        <v>46268</v>
      </c>
    </row>
    <row r="632" spans="1:4" x14ac:dyDescent="0.25">
      <c r="A632" s="42">
        <f t="shared" si="11"/>
        <v>631</v>
      </c>
      <c r="B632" s="42" cm="1">
        <f t="array" aca="1" ref="B632" ca="1">INDEX(Historical!$A$1:$A$18, RANDBETWEEN(1, COUNTA(Historical!$A$1:$A$18)))</f>
        <v>1.4038461538461537</v>
      </c>
      <c r="C632" s="42">
        <f ca="1">Inputs!$B$2/B632</f>
        <v>159.56164383561645</v>
      </c>
      <c r="D632" s="43">
        <f ca="1">WORKDAY(Inputs!$B$3, ROUND(C632, 0),Sheet2!$A$2:$A$21)</f>
        <v>46252</v>
      </c>
    </row>
    <row r="633" spans="1:4" x14ac:dyDescent="0.25">
      <c r="A633" s="42">
        <f t="shared" si="11"/>
        <v>632</v>
      </c>
      <c r="B633" s="42" cm="1">
        <f t="array" aca="1" ref="B633" ca="1">INDEX(Historical!$A$1:$A$18, RANDBETWEEN(1, COUNTA(Historical!$A$1:$A$18)))</f>
        <v>1.3617021276595744</v>
      </c>
      <c r="C633" s="42">
        <f ca="1">Inputs!$B$2/B633</f>
        <v>164.5</v>
      </c>
      <c r="D633" s="43">
        <f ca="1">WORKDAY(Inputs!$B$3, ROUND(C633, 0),Sheet2!$A$2:$A$21)</f>
        <v>46259</v>
      </c>
    </row>
    <row r="634" spans="1:4" x14ac:dyDescent="0.25">
      <c r="A634" s="42">
        <f t="shared" si="11"/>
        <v>633</v>
      </c>
      <c r="B634" s="42" cm="1">
        <f t="array" aca="1" ref="B634" ca="1">INDEX(Historical!$A$1:$A$18, RANDBETWEEN(1, COUNTA(Historical!$A$1:$A$18)))</f>
        <v>1.3611111111111112</v>
      </c>
      <c r="C634" s="42">
        <f ca="1">Inputs!$B$2/B634</f>
        <v>164.57142857142856</v>
      </c>
      <c r="D634" s="43">
        <f ca="1">WORKDAY(Inputs!$B$3, ROUND(C634, 0),Sheet2!$A$2:$A$21)</f>
        <v>46259</v>
      </c>
    </row>
    <row r="635" spans="1:4" x14ac:dyDescent="0.25">
      <c r="A635" s="42">
        <f t="shared" si="11"/>
        <v>634</v>
      </c>
      <c r="B635" s="42" cm="1">
        <f t="array" aca="1" ref="B635" ca="1">INDEX(Historical!$A$1:$A$18, RANDBETWEEN(1, COUNTA(Historical!$A$1:$A$18)))</f>
        <v>1.3611111111111112</v>
      </c>
      <c r="C635" s="42">
        <f ca="1">Inputs!$B$2/B635</f>
        <v>164.57142857142856</v>
      </c>
      <c r="D635" s="43">
        <f ca="1">WORKDAY(Inputs!$B$3, ROUND(C635, 0),Sheet2!$A$2:$A$21)</f>
        <v>46259</v>
      </c>
    </row>
    <row r="636" spans="1:4" x14ac:dyDescent="0.25">
      <c r="A636" s="42">
        <f t="shared" si="11"/>
        <v>635</v>
      </c>
      <c r="B636" s="42" cm="1">
        <f t="array" aca="1" ref="B636" ca="1">INDEX(Historical!$A$1:$A$18, RANDBETWEEN(1, COUNTA(Historical!$A$1:$A$18)))</f>
        <v>1.3707865168539326</v>
      </c>
      <c r="C636" s="42">
        <f ca="1">Inputs!$B$2/B636</f>
        <v>163.40983606557376</v>
      </c>
      <c r="D636" s="43">
        <f ca="1">WORKDAY(Inputs!$B$3, ROUND(C636, 0),Sheet2!$A$2:$A$21)</f>
        <v>46255</v>
      </c>
    </row>
    <row r="637" spans="1:4" x14ac:dyDescent="0.25">
      <c r="A637" s="42">
        <f t="shared" si="11"/>
        <v>636</v>
      </c>
      <c r="B637" s="42" cm="1">
        <f t="array" aca="1" ref="B637" ca="1">INDEX(Historical!$A$1:$A$18, RANDBETWEEN(1, COUNTA(Historical!$A$1:$A$18)))</f>
        <v>1.4137931034482758</v>
      </c>
      <c r="C637" s="42">
        <f ca="1">Inputs!$B$2/B637</f>
        <v>158.4390243902439</v>
      </c>
      <c r="D637" s="43">
        <f ca="1">WORKDAY(Inputs!$B$3, ROUND(C637, 0),Sheet2!$A$2:$A$21)</f>
        <v>46248</v>
      </c>
    </row>
    <row r="638" spans="1:4" x14ac:dyDescent="0.25">
      <c r="A638" s="42">
        <f t="shared" si="11"/>
        <v>637</v>
      </c>
      <c r="B638" s="42" cm="1">
        <f t="array" aca="1" ref="B638" ca="1">INDEX(Historical!$A$1:$A$18, RANDBETWEEN(1, COUNTA(Historical!$A$1:$A$18)))</f>
        <v>1.4137931034482758</v>
      </c>
      <c r="C638" s="42">
        <f ca="1">Inputs!$B$2/B638</f>
        <v>158.4390243902439</v>
      </c>
      <c r="D638" s="43">
        <f ca="1">WORKDAY(Inputs!$B$3, ROUND(C638, 0),Sheet2!$A$2:$A$21)</f>
        <v>46248</v>
      </c>
    </row>
    <row r="639" spans="1:4" x14ac:dyDescent="0.25">
      <c r="A639" s="42">
        <f t="shared" si="11"/>
        <v>638</v>
      </c>
      <c r="B639" s="42" cm="1">
        <f t="array" aca="1" ref="B639" ca="1">INDEX(Historical!$A$1:$A$18, RANDBETWEEN(1, COUNTA(Historical!$A$1:$A$18)))</f>
        <v>1.4347826086956521</v>
      </c>
      <c r="C639" s="42">
        <f ca="1">Inputs!$B$2/B639</f>
        <v>156.12121212121212</v>
      </c>
      <c r="D639" s="43">
        <f ca="1">WORKDAY(Inputs!$B$3, ROUND(C639, 0),Sheet2!$A$2:$A$21)</f>
        <v>46246</v>
      </c>
    </row>
    <row r="640" spans="1:4" x14ac:dyDescent="0.25">
      <c r="A640" s="42">
        <f t="shared" si="11"/>
        <v>639</v>
      </c>
      <c r="B640" s="42" cm="1">
        <f t="array" aca="1" ref="B640" ca="1">INDEX(Historical!$A$1:$A$18, RANDBETWEEN(1, COUNTA(Historical!$A$1:$A$18)))</f>
        <v>1.3559322033898304</v>
      </c>
      <c r="C640" s="42">
        <f ca="1">Inputs!$B$2/B640</f>
        <v>165.20000000000002</v>
      </c>
      <c r="D640" s="43">
        <f ca="1">WORKDAY(Inputs!$B$3, ROUND(C640, 0),Sheet2!$A$2:$A$21)</f>
        <v>46259</v>
      </c>
    </row>
    <row r="641" spans="1:4" x14ac:dyDescent="0.25">
      <c r="A641" s="42">
        <f t="shared" si="11"/>
        <v>640</v>
      </c>
      <c r="B641" s="42" cm="1">
        <f t="array" aca="1" ref="B641" ca="1">INDEX(Historical!$A$1:$A$18, RANDBETWEEN(1, COUNTA(Historical!$A$1:$A$18)))</f>
        <v>1.4347826086956521</v>
      </c>
      <c r="C641" s="42">
        <f ca="1">Inputs!$B$2/B641</f>
        <v>156.12121212121212</v>
      </c>
      <c r="D641" s="43">
        <f ca="1">WORKDAY(Inputs!$B$3, ROUND(C641, 0),Sheet2!$A$2:$A$21)</f>
        <v>46246</v>
      </c>
    </row>
    <row r="642" spans="1:4" x14ac:dyDescent="0.25">
      <c r="A642" s="42">
        <f t="shared" si="11"/>
        <v>641</v>
      </c>
      <c r="B642" s="42" cm="1">
        <f t="array" aca="1" ref="B642" ca="1">INDEX(Historical!$A$1:$A$18, RANDBETWEEN(1, COUNTA(Historical!$A$1:$A$18)))</f>
        <v>1.5</v>
      </c>
      <c r="C642" s="42">
        <f ca="1">Inputs!$B$2/B642</f>
        <v>149.33333333333334</v>
      </c>
      <c r="D642" s="43">
        <f ca="1">WORKDAY(Inputs!$B$3, ROUND(C642, 0),Sheet2!$A$2:$A$21)</f>
        <v>46237</v>
      </c>
    </row>
    <row r="643" spans="1:4" x14ac:dyDescent="0.25">
      <c r="A643" s="42">
        <f t="shared" ref="A643:A706" si="12">ROW()-1</f>
        <v>642</v>
      </c>
      <c r="B643" s="42" cm="1">
        <f t="array" aca="1" ref="B643" ca="1">INDEX(Historical!$A$1:$A$18, RANDBETWEEN(1, COUNTA(Historical!$A$1:$A$18)))</f>
        <v>1.3707865168539326</v>
      </c>
      <c r="C643" s="42">
        <f ca="1">Inputs!$B$2/B643</f>
        <v>163.40983606557376</v>
      </c>
      <c r="D643" s="43">
        <f ca="1">WORKDAY(Inputs!$B$3, ROUND(C643, 0),Sheet2!$A$2:$A$21)</f>
        <v>46255</v>
      </c>
    </row>
    <row r="644" spans="1:4" x14ac:dyDescent="0.25">
      <c r="A644" s="42">
        <f t="shared" si="12"/>
        <v>643</v>
      </c>
      <c r="B644" s="42" cm="1">
        <f t="array" aca="1" ref="B644" ca="1">INDEX(Historical!$A$1:$A$18, RANDBETWEEN(1, COUNTA(Historical!$A$1:$A$18)))</f>
        <v>1.1666666666666667</v>
      </c>
      <c r="C644" s="42">
        <f ca="1">Inputs!$B$2/B644</f>
        <v>192</v>
      </c>
      <c r="D644" s="43">
        <f ca="1">WORKDAY(Inputs!$B$3, ROUND(C644, 0),Sheet2!$A$2:$A$21)</f>
        <v>46297</v>
      </c>
    </row>
    <row r="645" spans="1:4" x14ac:dyDescent="0.25">
      <c r="A645" s="42">
        <f t="shared" si="12"/>
        <v>644</v>
      </c>
      <c r="B645" s="42" cm="1">
        <f t="array" aca="1" ref="B645" ca="1">INDEX(Historical!$A$1:$A$18, RANDBETWEEN(1, COUNTA(Historical!$A$1:$A$18)))</f>
        <v>1.2941176470588236</v>
      </c>
      <c r="C645" s="42">
        <f ca="1">Inputs!$B$2/B645</f>
        <v>173.09090909090909</v>
      </c>
      <c r="D645" s="43">
        <f ca="1">WORKDAY(Inputs!$B$3, ROUND(C645, 0),Sheet2!$A$2:$A$21)</f>
        <v>46269</v>
      </c>
    </row>
    <row r="646" spans="1:4" x14ac:dyDescent="0.25">
      <c r="A646" s="42">
        <f t="shared" si="12"/>
        <v>645</v>
      </c>
      <c r="B646" s="42" cm="1">
        <f t="array" aca="1" ref="B646" ca="1">INDEX(Historical!$A$1:$A$18, RANDBETWEEN(1, COUNTA(Historical!$A$1:$A$18)))</f>
        <v>1.3617021276595744</v>
      </c>
      <c r="C646" s="42">
        <f ca="1">Inputs!$B$2/B646</f>
        <v>164.5</v>
      </c>
      <c r="D646" s="43">
        <f ca="1">WORKDAY(Inputs!$B$3, ROUND(C646, 0),Sheet2!$A$2:$A$21)</f>
        <v>46259</v>
      </c>
    </row>
    <row r="647" spans="1:4" x14ac:dyDescent="0.25">
      <c r="A647" s="42">
        <f t="shared" si="12"/>
        <v>646</v>
      </c>
      <c r="B647" s="42" cm="1">
        <f t="array" aca="1" ref="B647" ca="1">INDEX(Historical!$A$1:$A$18, RANDBETWEEN(1, COUNTA(Historical!$A$1:$A$18)))</f>
        <v>1.3157894736842106</v>
      </c>
      <c r="C647" s="42">
        <f ca="1">Inputs!$B$2/B647</f>
        <v>170.23999999999998</v>
      </c>
      <c r="D647" s="43">
        <f ca="1">WORKDAY(Inputs!$B$3, ROUND(C647, 0),Sheet2!$A$2:$A$21)</f>
        <v>46266</v>
      </c>
    </row>
    <row r="648" spans="1:4" x14ac:dyDescent="0.25">
      <c r="A648" s="42">
        <f t="shared" si="12"/>
        <v>647</v>
      </c>
      <c r="B648" s="42" cm="1">
        <f t="array" aca="1" ref="B648" ca="1">INDEX(Historical!$A$1:$A$18, RANDBETWEEN(1, COUNTA(Historical!$A$1:$A$18)))</f>
        <v>1.4137931034482758</v>
      </c>
      <c r="C648" s="42">
        <f ca="1">Inputs!$B$2/B648</f>
        <v>158.4390243902439</v>
      </c>
      <c r="D648" s="43">
        <f ca="1">WORKDAY(Inputs!$B$3, ROUND(C648, 0),Sheet2!$A$2:$A$21)</f>
        <v>46248</v>
      </c>
    </row>
    <row r="649" spans="1:4" x14ac:dyDescent="0.25">
      <c r="A649" s="42">
        <f t="shared" si="12"/>
        <v>648</v>
      </c>
      <c r="B649" s="42" cm="1">
        <f t="array" aca="1" ref="B649" ca="1">INDEX(Historical!$A$1:$A$18, RANDBETWEEN(1, COUNTA(Historical!$A$1:$A$18)))</f>
        <v>1.1666666666666667</v>
      </c>
      <c r="C649" s="42">
        <f ca="1">Inputs!$B$2/B649</f>
        <v>192</v>
      </c>
      <c r="D649" s="43">
        <f ca="1">WORKDAY(Inputs!$B$3, ROUND(C649, 0),Sheet2!$A$2:$A$21)</f>
        <v>46297</v>
      </c>
    </row>
    <row r="650" spans="1:4" x14ac:dyDescent="0.25">
      <c r="A650" s="42">
        <f t="shared" si="12"/>
        <v>649</v>
      </c>
      <c r="B650" s="42" cm="1">
        <f t="array" aca="1" ref="B650" ca="1">INDEX(Historical!$A$1:$A$18, RANDBETWEEN(1, COUNTA(Historical!$A$1:$A$18)))</f>
        <v>1.5</v>
      </c>
      <c r="C650" s="42">
        <f ca="1">Inputs!$B$2/B650</f>
        <v>149.33333333333334</v>
      </c>
      <c r="D650" s="43">
        <f ca="1">WORKDAY(Inputs!$B$3, ROUND(C650, 0),Sheet2!$A$2:$A$21)</f>
        <v>46237</v>
      </c>
    </row>
    <row r="651" spans="1:4" x14ac:dyDescent="0.25">
      <c r="A651" s="42">
        <f t="shared" si="12"/>
        <v>650</v>
      </c>
      <c r="B651" s="42" cm="1">
        <f t="array" aca="1" ref="B651" ca="1">INDEX(Historical!$A$1:$A$18, RANDBETWEEN(1, COUNTA(Historical!$A$1:$A$18)))</f>
        <v>1.4347826086956521</v>
      </c>
      <c r="C651" s="42">
        <f ca="1">Inputs!$B$2/B651</f>
        <v>156.12121212121212</v>
      </c>
      <c r="D651" s="43">
        <f ca="1">WORKDAY(Inputs!$B$3, ROUND(C651, 0),Sheet2!$A$2:$A$21)</f>
        <v>46246</v>
      </c>
    </row>
    <row r="652" spans="1:4" x14ac:dyDescent="0.25">
      <c r="A652" s="42">
        <f t="shared" si="12"/>
        <v>651</v>
      </c>
      <c r="B652" s="42" cm="1">
        <f t="array" aca="1" ref="B652" ca="1">INDEX(Historical!$A$1:$A$18, RANDBETWEEN(1, COUNTA(Historical!$A$1:$A$18)))</f>
        <v>1.3559322033898304</v>
      </c>
      <c r="C652" s="42">
        <f ca="1">Inputs!$B$2/B652</f>
        <v>165.20000000000002</v>
      </c>
      <c r="D652" s="43">
        <f ca="1">WORKDAY(Inputs!$B$3, ROUND(C652, 0),Sheet2!$A$2:$A$21)</f>
        <v>46259</v>
      </c>
    </row>
    <row r="653" spans="1:4" x14ac:dyDescent="0.25">
      <c r="A653" s="42">
        <f t="shared" si="12"/>
        <v>652</v>
      </c>
      <c r="B653" s="42" cm="1">
        <f t="array" aca="1" ref="B653" ca="1">INDEX(Historical!$A$1:$A$18, RANDBETWEEN(1, COUNTA(Historical!$A$1:$A$18)))</f>
        <v>1.4347826086956521</v>
      </c>
      <c r="C653" s="42">
        <f ca="1">Inputs!$B$2/B653</f>
        <v>156.12121212121212</v>
      </c>
      <c r="D653" s="43">
        <f ca="1">WORKDAY(Inputs!$B$3, ROUND(C653, 0),Sheet2!$A$2:$A$21)</f>
        <v>46246</v>
      </c>
    </row>
    <row r="654" spans="1:4" x14ac:dyDescent="0.25">
      <c r="A654" s="42">
        <f t="shared" si="12"/>
        <v>653</v>
      </c>
      <c r="B654" s="42" cm="1">
        <f t="array" aca="1" ref="B654" ca="1">INDEX(Historical!$A$1:$A$18, RANDBETWEEN(1, COUNTA(Historical!$A$1:$A$18)))</f>
        <v>1.3559322033898304</v>
      </c>
      <c r="C654" s="42">
        <f ca="1">Inputs!$B$2/B654</f>
        <v>165.20000000000002</v>
      </c>
      <c r="D654" s="43">
        <f ca="1">WORKDAY(Inputs!$B$3, ROUND(C654, 0),Sheet2!$A$2:$A$21)</f>
        <v>46259</v>
      </c>
    </row>
    <row r="655" spans="1:4" x14ac:dyDescent="0.25">
      <c r="A655" s="42">
        <f t="shared" si="12"/>
        <v>654</v>
      </c>
      <c r="B655" s="42" cm="1">
        <f t="array" aca="1" ref="B655" ca="1">INDEX(Historical!$A$1:$A$18, RANDBETWEEN(1, COUNTA(Historical!$A$1:$A$18)))</f>
        <v>1.290909090909091</v>
      </c>
      <c r="C655" s="42">
        <f ca="1">Inputs!$B$2/B655</f>
        <v>173.52112676056336</v>
      </c>
      <c r="D655" s="43">
        <f ca="1">WORKDAY(Inputs!$B$3, ROUND(C655, 0),Sheet2!$A$2:$A$21)</f>
        <v>46273</v>
      </c>
    </row>
    <row r="656" spans="1:4" x14ac:dyDescent="0.25">
      <c r="A656" s="42">
        <f t="shared" si="12"/>
        <v>655</v>
      </c>
      <c r="B656" s="42" cm="1">
        <f t="array" aca="1" ref="B656" ca="1">INDEX(Historical!$A$1:$A$18, RANDBETWEEN(1, COUNTA(Historical!$A$1:$A$18)))</f>
        <v>1.4038461538461537</v>
      </c>
      <c r="C656" s="42">
        <f ca="1">Inputs!$B$2/B656</f>
        <v>159.56164383561645</v>
      </c>
      <c r="D656" s="43">
        <f ca="1">WORKDAY(Inputs!$B$3, ROUND(C656, 0),Sheet2!$A$2:$A$21)</f>
        <v>46252</v>
      </c>
    </row>
    <row r="657" spans="1:4" x14ac:dyDescent="0.25">
      <c r="A657" s="42">
        <f t="shared" si="12"/>
        <v>656</v>
      </c>
      <c r="B657" s="42" cm="1">
        <f t="array" aca="1" ref="B657" ca="1">INDEX(Historical!$A$1:$A$18, RANDBETWEEN(1, COUNTA(Historical!$A$1:$A$18)))</f>
        <v>1.290909090909091</v>
      </c>
      <c r="C657" s="42">
        <f ca="1">Inputs!$B$2/B657</f>
        <v>173.52112676056336</v>
      </c>
      <c r="D657" s="43">
        <f ca="1">WORKDAY(Inputs!$B$3, ROUND(C657, 0),Sheet2!$A$2:$A$21)</f>
        <v>46273</v>
      </c>
    </row>
    <row r="658" spans="1:4" x14ac:dyDescent="0.25">
      <c r="A658" s="42">
        <f t="shared" si="12"/>
        <v>657</v>
      </c>
      <c r="B658" s="42" cm="1">
        <f t="array" aca="1" ref="B658" ca="1">INDEX(Historical!$A$1:$A$18, RANDBETWEEN(1, COUNTA(Historical!$A$1:$A$18)))</f>
        <v>1.2941176470588236</v>
      </c>
      <c r="C658" s="42">
        <f ca="1">Inputs!$B$2/B658</f>
        <v>173.09090909090909</v>
      </c>
      <c r="D658" s="43">
        <f ca="1">WORKDAY(Inputs!$B$3, ROUND(C658, 0),Sheet2!$A$2:$A$21)</f>
        <v>46269</v>
      </c>
    </row>
    <row r="659" spans="1:4" x14ac:dyDescent="0.25">
      <c r="A659" s="42">
        <f t="shared" si="12"/>
        <v>658</v>
      </c>
      <c r="B659" s="42" cm="1">
        <f t="array" aca="1" ref="B659" ca="1">INDEX(Historical!$A$1:$A$18, RANDBETWEEN(1, COUNTA(Historical!$A$1:$A$18)))</f>
        <v>1.4137931034482758</v>
      </c>
      <c r="C659" s="42">
        <f ca="1">Inputs!$B$2/B659</f>
        <v>158.4390243902439</v>
      </c>
      <c r="D659" s="43">
        <f ca="1">WORKDAY(Inputs!$B$3, ROUND(C659, 0),Sheet2!$A$2:$A$21)</f>
        <v>46248</v>
      </c>
    </row>
    <row r="660" spans="1:4" x14ac:dyDescent="0.25">
      <c r="A660" s="42">
        <f t="shared" si="12"/>
        <v>659</v>
      </c>
      <c r="B660" s="42" cm="1">
        <f t="array" aca="1" ref="B660" ca="1">INDEX(Historical!$A$1:$A$18, RANDBETWEEN(1, COUNTA(Historical!$A$1:$A$18)))</f>
        <v>1.3692307692307693</v>
      </c>
      <c r="C660" s="42">
        <f ca="1">Inputs!$B$2/B660</f>
        <v>163.59550561797752</v>
      </c>
      <c r="D660" s="43">
        <f ca="1">WORKDAY(Inputs!$B$3, ROUND(C660, 0),Sheet2!$A$2:$A$21)</f>
        <v>46258</v>
      </c>
    </row>
    <row r="661" spans="1:4" x14ac:dyDescent="0.25">
      <c r="A661" s="42">
        <f t="shared" si="12"/>
        <v>660</v>
      </c>
      <c r="B661" s="42" cm="1">
        <f t="array" aca="1" ref="B661" ca="1">INDEX(Historical!$A$1:$A$18, RANDBETWEEN(1, COUNTA(Historical!$A$1:$A$18)))</f>
        <v>1.1666666666666667</v>
      </c>
      <c r="C661" s="42">
        <f ca="1">Inputs!$B$2/B661</f>
        <v>192</v>
      </c>
      <c r="D661" s="43">
        <f ca="1">WORKDAY(Inputs!$B$3, ROUND(C661, 0),Sheet2!$A$2:$A$21)</f>
        <v>46297</v>
      </c>
    </row>
    <row r="662" spans="1:4" x14ac:dyDescent="0.25">
      <c r="A662" s="42">
        <f t="shared" si="12"/>
        <v>661</v>
      </c>
      <c r="B662" s="42" cm="1">
        <f t="array" aca="1" ref="B662" ca="1">INDEX(Historical!$A$1:$A$18, RANDBETWEEN(1, COUNTA(Historical!$A$1:$A$18)))</f>
        <v>1.290909090909091</v>
      </c>
      <c r="C662" s="42">
        <f ca="1">Inputs!$B$2/B662</f>
        <v>173.52112676056336</v>
      </c>
      <c r="D662" s="43">
        <f ca="1">WORKDAY(Inputs!$B$3, ROUND(C662, 0),Sheet2!$A$2:$A$21)</f>
        <v>46273</v>
      </c>
    </row>
    <row r="663" spans="1:4" x14ac:dyDescent="0.25">
      <c r="A663" s="42">
        <f t="shared" si="12"/>
        <v>662</v>
      </c>
      <c r="B663" s="42" cm="1">
        <f t="array" aca="1" ref="B663" ca="1">INDEX(Historical!$A$1:$A$18, RANDBETWEEN(1, COUNTA(Historical!$A$1:$A$18)))</f>
        <v>1.5</v>
      </c>
      <c r="C663" s="42">
        <f ca="1">Inputs!$B$2/B663</f>
        <v>149.33333333333334</v>
      </c>
      <c r="D663" s="43">
        <f ca="1">WORKDAY(Inputs!$B$3, ROUND(C663, 0),Sheet2!$A$2:$A$21)</f>
        <v>46237</v>
      </c>
    </row>
    <row r="664" spans="1:4" x14ac:dyDescent="0.25">
      <c r="A664" s="42">
        <f t="shared" si="12"/>
        <v>663</v>
      </c>
      <c r="B664" s="42" cm="1">
        <f t="array" aca="1" ref="B664" ca="1">INDEX(Historical!$A$1:$A$18, RANDBETWEEN(1, COUNTA(Historical!$A$1:$A$18)))</f>
        <v>1.4761904761904763</v>
      </c>
      <c r="C664" s="42">
        <f ca="1">Inputs!$B$2/B664</f>
        <v>151.74193548387095</v>
      </c>
      <c r="D664" s="43">
        <f ca="1">WORKDAY(Inputs!$B$3, ROUND(C664, 0),Sheet2!$A$2:$A$21)</f>
        <v>46240</v>
      </c>
    </row>
    <row r="665" spans="1:4" x14ac:dyDescent="0.25">
      <c r="A665" s="42">
        <f t="shared" si="12"/>
        <v>664</v>
      </c>
      <c r="B665" s="42" cm="1">
        <f t="array" aca="1" ref="B665" ca="1">INDEX(Historical!$A$1:$A$18, RANDBETWEEN(1, COUNTA(Historical!$A$1:$A$18)))</f>
        <v>1.375</v>
      </c>
      <c r="C665" s="42">
        <f ca="1">Inputs!$B$2/B665</f>
        <v>162.90909090909091</v>
      </c>
      <c r="D665" s="43">
        <f ca="1">WORKDAY(Inputs!$B$3, ROUND(C665, 0),Sheet2!$A$2:$A$21)</f>
        <v>46255</v>
      </c>
    </row>
    <row r="666" spans="1:4" x14ac:dyDescent="0.25">
      <c r="A666" s="42">
        <f t="shared" si="12"/>
        <v>665</v>
      </c>
      <c r="B666" s="42" cm="1">
        <f t="array" aca="1" ref="B666" ca="1">INDEX(Historical!$A$1:$A$18, RANDBETWEEN(1, COUNTA(Historical!$A$1:$A$18)))</f>
        <v>1.5</v>
      </c>
      <c r="C666" s="42">
        <f ca="1">Inputs!$B$2/B666</f>
        <v>149.33333333333334</v>
      </c>
      <c r="D666" s="43">
        <f ca="1">WORKDAY(Inputs!$B$3, ROUND(C666, 0),Sheet2!$A$2:$A$21)</f>
        <v>46237</v>
      </c>
    </row>
    <row r="667" spans="1:4" x14ac:dyDescent="0.25">
      <c r="A667" s="42">
        <f t="shared" si="12"/>
        <v>666</v>
      </c>
      <c r="B667" s="42" cm="1">
        <f t="array" aca="1" ref="B667" ca="1">INDEX(Historical!$A$1:$A$18, RANDBETWEEN(1, COUNTA(Historical!$A$1:$A$18)))</f>
        <v>1.4761904761904763</v>
      </c>
      <c r="C667" s="42">
        <f ca="1">Inputs!$B$2/B667</f>
        <v>151.74193548387095</v>
      </c>
      <c r="D667" s="43">
        <f ca="1">WORKDAY(Inputs!$B$3, ROUND(C667, 0),Sheet2!$A$2:$A$21)</f>
        <v>46240</v>
      </c>
    </row>
    <row r="668" spans="1:4" x14ac:dyDescent="0.25">
      <c r="A668" s="42">
        <f t="shared" si="12"/>
        <v>667</v>
      </c>
      <c r="B668" s="42" cm="1">
        <f t="array" aca="1" ref="B668" ca="1">INDEX(Historical!$A$1:$A$18, RANDBETWEEN(1, COUNTA(Historical!$A$1:$A$18)))</f>
        <v>1.368421052631579</v>
      </c>
      <c r="C668" s="42">
        <f ca="1">Inputs!$B$2/B668</f>
        <v>163.69230769230768</v>
      </c>
      <c r="D668" s="43">
        <f ca="1">WORKDAY(Inputs!$B$3, ROUND(C668, 0),Sheet2!$A$2:$A$21)</f>
        <v>46258</v>
      </c>
    </row>
    <row r="669" spans="1:4" x14ac:dyDescent="0.25">
      <c r="A669" s="42">
        <f t="shared" si="12"/>
        <v>668</v>
      </c>
      <c r="B669" s="42" cm="1">
        <f t="array" aca="1" ref="B669" ca="1">INDEX(Historical!$A$1:$A$18, RANDBETWEEN(1, COUNTA(Historical!$A$1:$A$18)))</f>
        <v>1.3617021276595744</v>
      </c>
      <c r="C669" s="42">
        <f ca="1">Inputs!$B$2/B669</f>
        <v>164.5</v>
      </c>
      <c r="D669" s="43">
        <f ca="1">WORKDAY(Inputs!$B$3, ROUND(C669, 0),Sheet2!$A$2:$A$21)</f>
        <v>46259</v>
      </c>
    </row>
    <row r="670" spans="1:4" x14ac:dyDescent="0.25">
      <c r="A670" s="42">
        <f t="shared" si="12"/>
        <v>669</v>
      </c>
      <c r="B670" s="42" cm="1">
        <f t="array" aca="1" ref="B670" ca="1">INDEX(Historical!$A$1:$A$18, RANDBETWEEN(1, COUNTA(Historical!$A$1:$A$18)))</f>
        <v>1.3559322033898304</v>
      </c>
      <c r="C670" s="42">
        <f ca="1">Inputs!$B$2/B670</f>
        <v>165.20000000000002</v>
      </c>
      <c r="D670" s="43">
        <f ca="1">WORKDAY(Inputs!$B$3, ROUND(C670, 0),Sheet2!$A$2:$A$21)</f>
        <v>46259</v>
      </c>
    </row>
    <row r="671" spans="1:4" x14ac:dyDescent="0.25">
      <c r="A671" s="42">
        <f t="shared" si="12"/>
        <v>670</v>
      </c>
      <c r="B671" s="42" cm="1">
        <f t="array" aca="1" ref="B671" ca="1">INDEX(Historical!$A$1:$A$18, RANDBETWEEN(1, COUNTA(Historical!$A$1:$A$18)))</f>
        <v>1.3611111111111112</v>
      </c>
      <c r="C671" s="42">
        <f ca="1">Inputs!$B$2/B671</f>
        <v>164.57142857142856</v>
      </c>
      <c r="D671" s="43">
        <f ca="1">WORKDAY(Inputs!$B$3, ROUND(C671, 0),Sheet2!$A$2:$A$21)</f>
        <v>46259</v>
      </c>
    </row>
    <row r="672" spans="1:4" x14ac:dyDescent="0.25">
      <c r="A672" s="42">
        <f t="shared" si="12"/>
        <v>671</v>
      </c>
      <c r="B672" s="42" cm="1">
        <f t="array" aca="1" ref="B672" ca="1">INDEX(Historical!$A$1:$A$18, RANDBETWEEN(1, COUNTA(Historical!$A$1:$A$18)))</f>
        <v>1.3157894736842106</v>
      </c>
      <c r="C672" s="42">
        <f ca="1">Inputs!$B$2/B672</f>
        <v>170.23999999999998</v>
      </c>
      <c r="D672" s="43">
        <f ca="1">WORKDAY(Inputs!$B$3, ROUND(C672, 0),Sheet2!$A$2:$A$21)</f>
        <v>46266</v>
      </c>
    </row>
    <row r="673" spans="1:4" x14ac:dyDescent="0.25">
      <c r="A673" s="42">
        <f t="shared" si="12"/>
        <v>672</v>
      </c>
      <c r="B673" s="42" cm="1">
        <f t="array" aca="1" ref="B673" ca="1">INDEX(Historical!$A$1:$A$18, RANDBETWEEN(1, COUNTA(Historical!$A$1:$A$18)))</f>
        <v>1.3692307692307693</v>
      </c>
      <c r="C673" s="42">
        <f ca="1">Inputs!$B$2/B673</f>
        <v>163.59550561797752</v>
      </c>
      <c r="D673" s="43">
        <f ca="1">WORKDAY(Inputs!$B$3, ROUND(C673, 0),Sheet2!$A$2:$A$21)</f>
        <v>46258</v>
      </c>
    </row>
    <row r="674" spans="1:4" x14ac:dyDescent="0.25">
      <c r="A674" s="42">
        <f t="shared" si="12"/>
        <v>673</v>
      </c>
      <c r="B674" s="42" cm="1">
        <f t="array" aca="1" ref="B674" ca="1">INDEX(Historical!$A$1:$A$18, RANDBETWEEN(1, COUNTA(Historical!$A$1:$A$18)))</f>
        <v>1.3707865168539326</v>
      </c>
      <c r="C674" s="42">
        <f ca="1">Inputs!$B$2/B674</f>
        <v>163.40983606557376</v>
      </c>
      <c r="D674" s="43">
        <f ca="1">WORKDAY(Inputs!$B$3, ROUND(C674, 0),Sheet2!$A$2:$A$21)</f>
        <v>46255</v>
      </c>
    </row>
    <row r="675" spans="1:4" x14ac:dyDescent="0.25">
      <c r="A675" s="42">
        <f t="shared" si="12"/>
        <v>674</v>
      </c>
      <c r="B675" s="42" cm="1">
        <f t="array" aca="1" ref="B675" ca="1">INDEX(Historical!$A$1:$A$18, RANDBETWEEN(1, COUNTA(Historical!$A$1:$A$18)))</f>
        <v>1.3559322033898304</v>
      </c>
      <c r="C675" s="42">
        <f ca="1">Inputs!$B$2/B675</f>
        <v>165.20000000000002</v>
      </c>
      <c r="D675" s="43">
        <f ca="1">WORKDAY(Inputs!$B$3, ROUND(C675, 0),Sheet2!$A$2:$A$21)</f>
        <v>46259</v>
      </c>
    </row>
    <row r="676" spans="1:4" x14ac:dyDescent="0.25">
      <c r="A676" s="42">
        <f t="shared" si="12"/>
        <v>675</v>
      </c>
      <c r="B676" s="42" cm="1">
        <f t="array" aca="1" ref="B676" ca="1">INDEX(Historical!$A$1:$A$18, RANDBETWEEN(1, COUNTA(Historical!$A$1:$A$18)))</f>
        <v>1.303030303030303</v>
      </c>
      <c r="C676" s="42">
        <f ca="1">Inputs!$B$2/B676</f>
        <v>171.90697674418604</v>
      </c>
      <c r="D676" s="43">
        <f ca="1">WORKDAY(Inputs!$B$3, ROUND(C676, 0),Sheet2!$A$2:$A$21)</f>
        <v>46268</v>
      </c>
    </row>
    <row r="677" spans="1:4" x14ac:dyDescent="0.25">
      <c r="A677" s="42">
        <f t="shared" si="12"/>
        <v>676</v>
      </c>
      <c r="B677" s="42" cm="1">
        <f t="array" aca="1" ref="B677" ca="1">INDEX(Historical!$A$1:$A$18, RANDBETWEEN(1, COUNTA(Historical!$A$1:$A$18)))</f>
        <v>1.4761904761904763</v>
      </c>
      <c r="C677" s="42">
        <f ca="1">Inputs!$B$2/B677</f>
        <v>151.74193548387095</v>
      </c>
      <c r="D677" s="43">
        <f ca="1">WORKDAY(Inputs!$B$3, ROUND(C677, 0),Sheet2!$A$2:$A$21)</f>
        <v>46240</v>
      </c>
    </row>
    <row r="678" spans="1:4" x14ac:dyDescent="0.25">
      <c r="A678" s="42">
        <f t="shared" si="12"/>
        <v>677</v>
      </c>
      <c r="B678" s="42" cm="1">
        <f t="array" aca="1" ref="B678" ca="1">INDEX(Historical!$A$1:$A$18, RANDBETWEEN(1, COUNTA(Historical!$A$1:$A$18)))</f>
        <v>1.3157894736842106</v>
      </c>
      <c r="C678" s="42">
        <f ca="1">Inputs!$B$2/B678</f>
        <v>170.23999999999998</v>
      </c>
      <c r="D678" s="43">
        <f ca="1">WORKDAY(Inputs!$B$3, ROUND(C678, 0),Sheet2!$A$2:$A$21)</f>
        <v>46266</v>
      </c>
    </row>
    <row r="679" spans="1:4" x14ac:dyDescent="0.25">
      <c r="A679" s="42">
        <f t="shared" si="12"/>
        <v>678</v>
      </c>
      <c r="B679" s="42" cm="1">
        <f t="array" aca="1" ref="B679" ca="1">INDEX(Historical!$A$1:$A$18, RANDBETWEEN(1, COUNTA(Historical!$A$1:$A$18)))</f>
        <v>1.3707865168539326</v>
      </c>
      <c r="C679" s="42">
        <f ca="1">Inputs!$B$2/B679</f>
        <v>163.40983606557376</v>
      </c>
      <c r="D679" s="43">
        <f ca="1">WORKDAY(Inputs!$B$3, ROUND(C679, 0),Sheet2!$A$2:$A$21)</f>
        <v>46255</v>
      </c>
    </row>
    <row r="680" spans="1:4" x14ac:dyDescent="0.25">
      <c r="A680" s="42">
        <f t="shared" si="12"/>
        <v>679</v>
      </c>
      <c r="B680" s="42" cm="1">
        <f t="array" aca="1" ref="B680" ca="1">INDEX(Historical!$A$1:$A$18, RANDBETWEEN(1, COUNTA(Historical!$A$1:$A$18)))</f>
        <v>1.4347826086956521</v>
      </c>
      <c r="C680" s="42">
        <f ca="1">Inputs!$B$2/B680</f>
        <v>156.12121212121212</v>
      </c>
      <c r="D680" s="43">
        <f ca="1">WORKDAY(Inputs!$B$3, ROUND(C680, 0),Sheet2!$A$2:$A$21)</f>
        <v>46246</v>
      </c>
    </row>
    <row r="681" spans="1:4" x14ac:dyDescent="0.25">
      <c r="A681" s="42">
        <f t="shared" si="12"/>
        <v>680</v>
      </c>
      <c r="B681" s="42" cm="1">
        <f t="array" aca="1" ref="B681" ca="1">INDEX(Historical!$A$1:$A$18, RANDBETWEEN(1, COUNTA(Historical!$A$1:$A$18)))</f>
        <v>1.4347826086956521</v>
      </c>
      <c r="C681" s="42">
        <f ca="1">Inputs!$B$2/B681</f>
        <v>156.12121212121212</v>
      </c>
      <c r="D681" s="43">
        <f ca="1">WORKDAY(Inputs!$B$3, ROUND(C681, 0),Sheet2!$A$2:$A$21)</f>
        <v>46246</v>
      </c>
    </row>
    <row r="682" spans="1:4" x14ac:dyDescent="0.25">
      <c r="A682" s="42">
        <f t="shared" si="12"/>
        <v>681</v>
      </c>
      <c r="B682" s="42" cm="1">
        <f t="array" aca="1" ref="B682" ca="1">INDEX(Historical!$A$1:$A$18, RANDBETWEEN(1, COUNTA(Historical!$A$1:$A$18)))</f>
        <v>1.3611111111111112</v>
      </c>
      <c r="C682" s="42">
        <f ca="1">Inputs!$B$2/B682</f>
        <v>164.57142857142856</v>
      </c>
      <c r="D682" s="43">
        <f ca="1">WORKDAY(Inputs!$B$3, ROUND(C682, 0),Sheet2!$A$2:$A$21)</f>
        <v>46259</v>
      </c>
    </row>
    <row r="683" spans="1:4" x14ac:dyDescent="0.25">
      <c r="A683" s="42">
        <f t="shared" si="12"/>
        <v>682</v>
      </c>
      <c r="B683" s="42" cm="1">
        <f t="array" aca="1" ref="B683" ca="1">INDEX(Historical!$A$1:$A$18, RANDBETWEEN(1, COUNTA(Historical!$A$1:$A$18)))</f>
        <v>1.4137931034482758</v>
      </c>
      <c r="C683" s="42">
        <f ca="1">Inputs!$B$2/B683</f>
        <v>158.4390243902439</v>
      </c>
      <c r="D683" s="43">
        <f ca="1">WORKDAY(Inputs!$B$3, ROUND(C683, 0),Sheet2!$A$2:$A$21)</f>
        <v>46248</v>
      </c>
    </row>
    <row r="684" spans="1:4" x14ac:dyDescent="0.25">
      <c r="A684" s="42">
        <f t="shared" si="12"/>
        <v>683</v>
      </c>
      <c r="B684" s="42" cm="1">
        <f t="array" aca="1" ref="B684" ca="1">INDEX(Historical!$A$1:$A$18, RANDBETWEEN(1, COUNTA(Historical!$A$1:$A$18)))</f>
        <v>1.2941176470588236</v>
      </c>
      <c r="C684" s="42">
        <f ca="1">Inputs!$B$2/B684</f>
        <v>173.09090909090909</v>
      </c>
      <c r="D684" s="43">
        <f ca="1">WORKDAY(Inputs!$B$3, ROUND(C684, 0),Sheet2!$A$2:$A$21)</f>
        <v>46269</v>
      </c>
    </row>
    <row r="685" spans="1:4" x14ac:dyDescent="0.25">
      <c r="A685" s="42">
        <f t="shared" si="12"/>
        <v>684</v>
      </c>
      <c r="B685" s="42" cm="1">
        <f t="array" aca="1" ref="B685" ca="1">INDEX(Historical!$A$1:$A$18, RANDBETWEEN(1, COUNTA(Historical!$A$1:$A$18)))</f>
        <v>1.1666666666666667</v>
      </c>
      <c r="C685" s="42">
        <f ca="1">Inputs!$B$2/B685</f>
        <v>192</v>
      </c>
      <c r="D685" s="43">
        <f ca="1">WORKDAY(Inputs!$B$3, ROUND(C685, 0),Sheet2!$A$2:$A$21)</f>
        <v>46297</v>
      </c>
    </row>
    <row r="686" spans="1:4" x14ac:dyDescent="0.25">
      <c r="A686" s="42">
        <f t="shared" si="12"/>
        <v>685</v>
      </c>
      <c r="B686" s="42" cm="1">
        <f t="array" aca="1" ref="B686" ca="1">INDEX(Historical!$A$1:$A$18, RANDBETWEEN(1, COUNTA(Historical!$A$1:$A$18)))</f>
        <v>1.4347826086956521</v>
      </c>
      <c r="C686" s="42">
        <f ca="1">Inputs!$B$2/B686</f>
        <v>156.12121212121212</v>
      </c>
      <c r="D686" s="43">
        <f ca="1">WORKDAY(Inputs!$B$3, ROUND(C686, 0),Sheet2!$A$2:$A$21)</f>
        <v>46246</v>
      </c>
    </row>
    <row r="687" spans="1:4" x14ac:dyDescent="0.25">
      <c r="A687" s="42">
        <f t="shared" si="12"/>
        <v>686</v>
      </c>
      <c r="B687" s="42" cm="1">
        <f t="array" aca="1" ref="B687" ca="1">INDEX(Historical!$A$1:$A$18, RANDBETWEEN(1, COUNTA(Historical!$A$1:$A$18)))</f>
        <v>1.3611111111111112</v>
      </c>
      <c r="C687" s="42">
        <f ca="1">Inputs!$B$2/B687</f>
        <v>164.57142857142856</v>
      </c>
      <c r="D687" s="43">
        <f ca="1">WORKDAY(Inputs!$B$3, ROUND(C687, 0),Sheet2!$A$2:$A$21)</f>
        <v>46259</v>
      </c>
    </row>
    <row r="688" spans="1:4" x14ac:dyDescent="0.25">
      <c r="A688" s="42">
        <f t="shared" si="12"/>
        <v>687</v>
      </c>
      <c r="B688" s="42" cm="1">
        <f t="array" aca="1" ref="B688" ca="1">INDEX(Historical!$A$1:$A$18, RANDBETWEEN(1, COUNTA(Historical!$A$1:$A$18)))</f>
        <v>1.3157894736842106</v>
      </c>
      <c r="C688" s="42">
        <f ca="1">Inputs!$B$2/B688</f>
        <v>170.23999999999998</v>
      </c>
      <c r="D688" s="43">
        <f ca="1">WORKDAY(Inputs!$B$3, ROUND(C688, 0),Sheet2!$A$2:$A$21)</f>
        <v>46266</v>
      </c>
    </row>
    <row r="689" spans="1:4" x14ac:dyDescent="0.25">
      <c r="A689" s="42">
        <f t="shared" si="12"/>
        <v>688</v>
      </c>
      <c r="B689" s="42" cm="1">
        <f t="array" aca="1" ref="B689" ca="1">INDEX(Historical!$A$1:$A$18, RANDBETWEEN(1, COUNTA(Historical!$A$1:$A$18)))</f>
        <v>1.3692307692307693</v>
      </c>
      <c r="C689" s="42">
        <f ca="1">Inputs!$B$2/B689</f>
        <v>163.59550561797752</v>
      </c>
      <c r="D689" s="43">
        <f ca="1">WORKDAY(Inputs!$B$3, ROUND(C689, 0),Sheet2!$A$2:$A$21)</f>
        <v>46258</v>
      </c>
    </row>
    <row r="690" spans="1:4" x14ac:dyDescent="0.25">
      <c r="A690" s="42">
        <f t="shared" si="12"/>
        <v>689</v>
      </c>
      <c r="B690" s="42" cm="1">
        <f t="array" aca="1" ref="B690" ca="1">INDEX(Historical!$A$1:$A$18, RANDBETWEEN(1, COUNTA(Historical!$A$1:$A$18)))</f>
        <v>1.4761904761904763</v>
      </c>
      <c r="C690" s="42">
        <f ca="1">Inputs!$B$2/B690</f>
        <v>151.74193548387095</v>
      </c>
      <c r="D690" s="43">
        <f ca="1">WORKDAY(Inputs!$B$3, ROUND(C690, 0),Sheet2!$A$2:$A$21)</f>
        <v>46240</v>
      </c>
    </row>
    <row r="691" spans="1:4" x14ac:dyDescent="0.25">
      <c r="A691" s="42">
        <f t="shared" si="12"/>
        <v>690</v>
      </c>
      <c r="B691" s="42" cm="1">
        <f t="array" aca="1" ref="B691" ca="1">INDEX(Historical!$A$1:$A$18, RANDBETWEEN(1, COUNTA(Historical!$A$1:$A$18)))</f>
        <v>1.4347826086956521</v>
      </c>
      <c r="C691" s="42">
        <f ca="1">Inputs!$B$2/B691</f>
        <v>156.12121212121212</v>
      </c>
      <c r="D691" s="43">
        <f ca="1">WORKDAY(Inputs!$B$3, ROUND(C691, 0),Sheet2!$A$2:$A$21)</f>
        <v>46246</v>
      </c>
    </row>
    <row r="692" spans="1:4" x14ac:dyDescent="0.25">
      <c r="A692" s="42">
        <f t="shared" si="12"/>
        <v>691</v>
      </c>
      <c r="B692" s="42" cm="1">
        <f t="array" aca="1" ref="B692" ca="1">INDEX(Historical!$A$1:$A$18, RANDBETWEEN(1, COUNTA(Historical!$A$1:$A$18)))</f>
        <v>1.5</v>
      </c>
      <c r="C692" s="42">
        <f ca="1">Inputs!$B$2/B692</f>
        <v>149.33333333333334</v>
      </c>
      <c r="D692" s="43">
        <f ca="1">WORKDAY(Inputs!$B$3, ROUND(C692, 0),Sheet2!$A$2:$A$21)</f>
        <v>46237</v>
      </c>
    </row>
    <row r="693" spans="1:4" x14ac:dyDescent="0.25">
      <c r="A693" s="42">
        <f t="shared" si="12"/>
        <v>692</v>
      </c>
      <c r="B693" s="42" cm="1">
        <f t="array" aca="1" ref="B693" ca="1">INDEX(Historical!$A$1:$A$18, RANDBETWEEN(1, COUNTA(Historical!$A$1:$A$18)))</f>
        <v>1.4347826086956521</v>
      </c>
      <c r="C693" s="42">
        <f ca="1">Inputs!$B$2/B693</f>
        <v>156.12121212121212</v>
      </c>
      <c r="D693" s="43">
        <f ca="1">WORKDAY(Inputs!$B$3, ROUND(C693, 0),Sheet2!$A$2:$A$21)</f>
        <v>46246</v>
      </c>
    </row>
    <row r="694" spans="1:4" x14ac:dyDescent="0.25">
      <c r="A694" s="42">
        <f t="shared" si="12"/>
        <v>693</v>
      </c>
      <c r="B694" s="42" cm="1">
        <f t="array" aca="1" ref="B694" ca="1">INDEX(Historical!$A$1:$A$18, RANDBETWEEN(1, COUNTA(Historical!$A$1:$A$18)))</f>
        <v>1.3692307692307693</v>
      </c>
      <c r="C694" s="42">
        <f ca="1">Inputs!$B$2/B694</f>
        <v>163.59550561797752</v>
      </c>
      <c r="D694" s="43">
        <f ca="1">WORKDAY(Inputs!$B$3, ROUND(C694, 0),Sheet2!$A$2:$A$21)</f>
        <v>46258</v>
      </c>
    </row>
    <row r="695" spans="1:4" x14ac:dyDescent="0.25">
      <c r="A695" s="42">
        <f t="shared" si="12"/>
        <v>694</v>
      </c>
      <c r="B695" s="42" cm="1">
        <f t="array" aca="1" ref="B695" ca="1">INDEX(Historical!$A$1:$A$18, RANDBETWEEN(1, COUNTA(Historical!$A$1:$A$18)))</f>
        <v>1.2941176470588236</v>
      </c>
      <c r="C695" s="42">
        <f ca="1">Inputs!$B$2/B695</f>
        <v>173.09090909090909</v>
      </c>
      <c r="D695" s="43">
        <f ca="1">WORKDAY(Inputs!$B$3, ROUND(C695, 0),Sheet2!$A$2:$A$21)</f>
        <v>46269</v>
      </c>
    </row>
    <row r="696" spans="1:4" x14ac:dyDescent="0.25">
      <c r="A696" s="42">
        <f t="shared" si="12"/>
        <v>695</v>
      </c>
      <c r="B696" s="42" cm="1">
        <f t="array" aca="1" ref="B696" ca="1">INDEX(Historical!$A$1:$A$18, RANDBETWEEN(1, COUNTA(Historical!$A$1:$A$18)))</f>
        <v>1.1666666666666667</v>
      </c>
      <c r="C696" s="42">
        <f ca="1">Inputs!$B$2/B696</f>
        <v>192</v>
      </c>
      <c r="D696" s="43">
        <f ca="1">WORKDAY(Inputs!$B$3, ROUND(C696, 0),Sheet2!$A$2:$A$21)</f>
        <v>46297</v>
      </c>
    </row>
    <row r="697" spans="1:4" x14ac:dyDescent="0.25">
      <c r="A697" s="42">
        <f t="shared" si="12"/>
        <v>696</v>
      </c>
      <c r="B697" s="42" cm="1">
        <f t="array" aca="1" ref="B697" ca="1">INDEX(Historical!$A$1:$A$18, RANDBETWEEN(1, COUNTA(Historical!$A$1:$A$18)))</f>
        <v>1.3157894736842106</v>
      </c>
      <c r="C697" s="42">
        <f ca="1">Inputs!$B$2/B697</f>
        <v>170.23999999999998</v>
      </c>
      <c r="D697" s="43">
        <f ca="1">WORKDAY(Inputs!$B$3, ROUND(C697, 0),Sheet2!$A$2:$A$21)</f>
        <v>46266</v>
      </c>
    </row>
    <row r="698" spans="1:4" x14ac:dyDescent="0.25">
      <c r="A698" s="42">
        <f t="shared" si="12"/>
        <v>697</v>
      </c>
      <c r="B698" s="42" cm="1">
        <f t="array" aca="1" ref="B698" ca="1">INDEX(Historical!$A$1:$A$18, RANDBETWEEN(1, COUNTA(Historical!$A$1:$A$18)))</f>
        <v>1.3559322033898304</v>
      </c>
      <c r="C698" s="42">
        <f ca="1">Inputs!$B$2/B698</f>
        <v>165.20000000000002</v>
      </c>
      <c r="D698" s="43">
        <f ca="1">WORKDAY(Inputs!$B$3, ROUND(C698, 0),Sheet2!$A$2:$A$21)</f>
        <v>46259</v>
      </c>
    </row>
    <row r="699" spans="1:4" x14ac:dyDescent="0.25">
      <c r="A699" s="42">
        <f t="shared" si="12"/>
        <v>698</v>
      </c>
      <c r="B699" s="42" cm="1">
        <f t="array" aca="1" ref="B699" ca="1">INDEX(Historical!$A$1:$A$18, RANDBETWEEN(1, COUNTA(Historical!$A$1:$A$18)))</f>
        <v>1.375</v>
      </c>
      <c r="C699" s="42">
        <f ca="1">Inputs!$B$2/B699</f>
        <v>162.90909090909091</v>
      </c>
      <c r="D699" s="43">
        <f ca="1">WORKDAY(Inputs!$B$3, ROUND(C699, 0),Sheet2!$A$2:$A$21)</f>
        <v>46255</v>
      </c>
    </row>
    <row r="700" spans="1:4" x14ac:dyDescent="0.25">
      <c r="A700" s="42">
        <f t="shared" si="12"/>
        <v>699</v>
      </c>
      <c r="B700" s="42" cm="1">
        <f t="array" aca="1" ref="B700" ca="1">INDEX(Historical!$A$1:$A$18, RANDBETWEEN(1, COUNTA(Historical!$A$1:$A$18)))</f>
        <v>1.3559322033898304</v>
      </c>
      <c r="C700" s="42">
        <f ca="1">Inputs!$B$2/B700</f>
        <v>165.20000000000002</v>
      </c>
      <c r="D700" s="43">
        <f ca="1">WORKDAY(Inputs!$B$3, ROUND(C700, 0),Sheet2!$A$2:$A$21)</f>
        <v>46259</v>
      </c>
    </row>
    <row r="701" spans="1:4" x14ac:dyDescent="0.25">
      <c r="A701" s="42">
        <f t="shared" si="12"/>
        <v>700</v>
      </c>
      <c r="B701" s="42" cm="1">
        <f t="array" aca="1" ref="B701" ca="1">INDEX(Historical!$A$1:$A$18, RANDBETWEEN(1, COUNTA(Historical!$A$1:$A$18)))</f>
        <v>1.3559322033898304</v>
      </c>
      <c r="C701" s="42">
        <f ca="1">Inputs!$B$2/B701</f>
        <v>165.20000000000002</v>
      </c>
      <c r="D701" s="43">
        <f ca="1">WORKDAY(Inputs!$B$3, ROUND(C701, 0),Sheet2!$A$2:$A$21)</f>
        <v>46259</v>
      </c>
    </row>
    <row r="702" spans="1:4" x14ac:dyDescent="0.25">
      <c r="A702" s="42">
        <f t="shared" si="12"/>
        <v>701</v>
      </c>
      <c r="B702" s="42" cm="1">
        <f t="array" aca="1" ref="B702" ca="1">INDEX(Historical!$A$1:$A$18, RANDBETWEEN(1, COUNTA(Historical!$A$1:$A$18)))</f>
        <v>1.1666666666666667</v>
      </c>
      <c r="C702" s="42">
        <f ca="1">Inputs!$B$2/B702</f>
        <v>192</v>
      </c>
      <c r="D702" s="43">
        <f ca="1">WORKDAY(Inputs!$B$3, ROUND(C702, 0),Sheet2!$A$2:$A$21)</f>
        <v>46297</v>
      </c>
    </row>
    <row r="703" spans="1:4" x14ac:dyDescent="0.25">
      <c r="A703" s="42">
        <f t="shared" si="12"/>
        <v>702</v>
      </c>
      <c r="B703" s="42" cm="1">
        <f t="array" aca="1" ref="B703" ca="1">INDEX(Historical!$A$1:$A$18, RANDBETWEEN(1, COUNTA(Historical!$A$1:$A$18)))</f>
        <v>1.5</v>
      </c>
      <c r="C703" s="42">
        <f ca="1">Inputs!$B$2/B703</f>
        <v>149.33333333333334</v>
      </c>
      <c r="D703" s="43">
        <f ca="1">WORKDAY(Inputs!$B$3, ROUND(C703, 0),Sheet2!$A$2:$A$21)</f>
        <v>46237</v>
      </c>
    </row>
    <row r="704" spans="1:4" x14ac:dyDescent="0.25">
      <c r="A704" s="42">
        <f t="shared" si="12"/>
        <v>703</v>
      </c>
      <c r="B704" s="42" cm="1">
        <f t="array" aca="1" ref="B704" ca="1">INDEX(Historical!$A$1:$A$18, RANDBETWEEN(1, COUNTA(Historical!$A$1:$A$18)))</f>
        <v>1.3214285714285714</v>
      </c>
      <c r="C704" s="42">
        <f ca="1">Inputs!$B$2/B704</f>
        <v>169.51351351351352</v>
      </c>
      <c r="D704" s="43">
        <f ca="1">WORKDAY(Inputs!$B$3, ROUND(C704, 0),Sheet2!$A$2:$A$21)</f>
        <v>46266</v>
      </c>
    </row>
    <row r="705" spans="1:4" x14ac:dyDescent="0.25">
      <c r="A705" s="42">
        <f t="shared" si="12"/>
        <v>704</v>
      </c>
      <c r="B705" s="42" cm="1">
        <f t="array" aca="1" ref="B705" ca="1">INDEX(Historical!$A$1:$A$18, RANDBETWEEN(1, COUNTA(Historical!$A$1:$A$18)))</f>
        <v>1.3559322033898304</v>
      </c>
      <c r="C705" s="42">
        <f ca="1">Inputs!$B$2/B705</f>
        <v>165.20000000000002</v>
      </c>
      <c r="D705" s="43">
        <f ca="1">WORKDAY(Inputs!$B$3, ROUND(C705, 0),Sheet2!$A$2:$A$21)</f>
        <v>46259</v>
      </c>
    </row>
    <row r="706" spans="1:4" x14ac:dyDescent="0.25">
      <c r="A706" s="42">
        <f t="shared" si="12"/>
        <v>705</v>
      </c>
      <c r="B706" s="42" cm="1">
        <f t="array" aca="1" ref="B706" ca="1">INDEX(Historical!$A$1:$A$18, RANDBETWEEN(1, COUNTA(Historical!$A$1:$A$18)))</f>
        <v>1.4761904761904763</v>
      </c>
      <c r="C706" s="42">
        <f ca="1">Inputs!$B$2/B706</f>
        <v>151.74193548387095</v>
      </c>
      <c r="D706" s="43">
        <f ca="1">WORKDAY(Inputs!$B$3, ROUND(C706, 0),Sheet2!$A$2:$A$21)</f>
        <v>46240</v>
      </c>
    </row>
    <row r="707" spans="1:4" x14ac:dyDescent="0.25">
      <c r="A707" s="42">
        <f t="shared" ref="A707:A770" si="13">ROW()-1</f>
        <v>706</v>
      </c>
      <c r="B707" s="42" cm="1">
        <f t="array" aca="1" ref="B707" ca="1">INDEX(Historical!$A$1:$A$18, RANDBETWEEN(1, COUNTA(Historical!$A$1:$A$18)))</f>
        <v>1.375</v>
      </c>
      <c r="C707" s="42">
        <f ca="1">Inputs!$B$2/B707</f>
        <v>162.90909090909091</v>
      </c>
      <c r="D707" s="43">
        <f ca="1">WORKDAY(Inputs!$B$3, ROUND(C707, 0),Sheet2!$A$2:$A$21)</f>
        <v>46255</v>
      </c>
    </row>
    <row r="708" spans="1:4" x14ac:dyDescent="0.25">
      <c r="A708" s="42">
        <f t="shared" si="13"/>
        <v>707</v>
      </c>
      <c r="B708" s="42" cm="1">
        <f t="array" aca="1" ref="B708" ca="1">INDEX(Historical!$A$1:$A$18, RANDBETWEEN(1, COUNTA(Historical!$A$1:$A$18)))</f>
        <v>1.4761904761904763</v>
      </c>
      <c r="C708" s="42">
        <f ca="1">Inputs!$B$2/B708</f>
        <v>151.74193548387095</v>
      </c>
      <c r="D708" s="43">
        <f ca="1">WORKDAY(Inputs!$B$3, ROUND(C708, 0),Sheet2!$A$2:$A$21)</f>
        <v>46240</v>
      </c>
    </row>
    <row r="709" spans="1:4" x14ac:dyDescent="0.25">
      <c r="A709" s="42">
        <f t="shared" si="13"/>
        <v>708</v>
      </c>
      <c r="B709" s="42" cm="1">
        <f t="array" aca="1" ref="B709" ca="1">INDEX(Historical!$A$1:$A$18, RANDBETWEEN(1, COUNTA(Historical!$A$1:$A$18)))</f>
        <v>1.3707865168539326</v>
      </c>
      <c r="C709" s="42">
        <f ca="1">Inputs!$B$2/B709</f>
        <v>163.40983606557376</v>
      </c>
      <c r="D709" s="43">
        <f ca="1">WORKDAY(Inputs!$B$3, ROUND(C709, 0),Sheet2!$A$2:$A$21)</f>
        <v>46255</v>
      </c>
    </row>
    <row r="710" spans="1:4" x14ac:dyDescent="0.25">
      <c r="A710" s="42">
        <f t="shared" si="13"/>
        <v>709</v>
      </c>
      <c r="B710" s="42" cm="1">
        <f t="array" aca="1" ref="B710" ca="1">INDEX(Historical!$A$1:$A$18, RANDBETWEEN(1, COUNTA(Historical!$A$1:$A$18)))</f>
        <v>1.368421052631579</v>
      </c>
      <c r="C710" s="42">
        <f ca="1">Inputs!$B$2/B710</f>
        <v>163.69230769230768</v>
      </c>
      <c r="D710" s="43">
        <f ca="1">WORKDAY(Inputs!$B$3, ROUND(C710, 0),Sheet2!$A$2:$A$21)</f>
        <v>46258</v>
      </c>
    </row>
    <row r="711" spans="1:4" x14ac:dyDescent="0.25">
      <c r="A711" s="42">
        <f t="shared" si="13"/>
        <v>710</v>
      </c>
      <c r="B711" s="42" cm="1">
        <f t="array" aca="1" ref="B711" ca="1">INDEX(Historical!$A$1:$A$18, RANDBETWEEN(1, COUNTA(Historical!$A$1:$A$18)))</f>
        <v>1.290909090909091</v>
      </c>
      <c r="C711" s="42">
        <f ca="1">Inputs!$B$2/B711</f>
        <v>173.52112676056336</v>
      </c>
      <c r="D711" s="43">
        <f ca="1">WORKDAY(Inputs!$B$3, ROUND(C711, 0),Sheet2!$A$2:$A$21)</f>
        <v>46273</v>
      </c>
    </row>
    <row r="712" spans="1:4" x14ac:dyDescent="0.25">
      <c r="A712" s="42">
        <f t="shared" si="13"/>
        <v>711</v>
      </c>
      <c r="B712" s="42" cm="1">
        <f t="array" aca="1" ref="B712" ca="1">INDEX(Historical!$A$1:$A$18, RANDBETWEEN(1, COUNTA(Historical!$A$1:$A$18)))</f>
        <v>1.3157894736842106</v>
      </c>
      <c r="C712" s="42">
        <f ca="1">Inputs!$B$2/B712</f>
        <v>170.23999999999998</v>
      </c>
      <c r="D712" s="43">
        <f ca="1">WORKDAY(Inputs!$B$3, ROUND(C712, 0),Sheet2!$A$2:$A$21)</f>
        <v>46266</v>
      </c>
    </row>
    <row r="713" spans="1:4" x14ac:dyDescent="0.25">
      <c r="A713" s="42">
        <f t="shared" si="13"/>
        <v>712</v>
      </c>
      <c r="B713" s="42" cm="1">
        <f t="array" aca="1" ref="B713" ca="1">INDEX(Historical!$A$1:$A$18, RANDBETWEEN(1, COUNTA(Historical!$A$1:$A$18)))</f>
        <v>1.4137931034482758</v>
      </c>
      <c r="C713" s="42">
        <f ca="1">Inputs!$B$2/B713</f>
        <v>158.4390243902439</v>
      </c>
      <c r="D713" s="43">
        <f ca="1">WORKDAY(Inputs!$B$3, ROUND(C713, 0),Sheet2!$A$2:$A$21)</f>
        <v>46248</v>
      </c>
    </row>
    <row r="714" spans="1:4" x14ac:dyDescent="0.25">
      <c r="A714" s="42">
        <f t="shared" si="13"/>
        <v>713</v>
      </c>
      <c r="B714" s="42" cm="1">
        <f t="array" aca="1" ref="B714" ca="1">INDEX(Historical!$A$1:$A$18, RANDBETWEEN(1, COUNTA(Historical!$A$1:$A$18)))</f>
        <v>1.4038461538461537</v>
      </c>
      <c r="C714" s="42">
        <f ca="1">Inputs!$B$2/B714</f>
        <v>159.56164383561645</v>
      </c>
      <c r="D714" s="43">
        <f ca="1">WORKDAY(Inputs!$B$3, ROUND(C714, 0),Sheet2!$A$2:$A$21)</f>
        <v>46252</v>
      </c>
    </row>
    <row r="715" spans="1:4" x14ac:dyDescent="0.25">
      <c r="A715" s="42">
        <f t="shared" si="13"/>
        <v>714</v>
      </c>
      <c r="B715" s="42" cm="1">
        <f t="array" aca="1" ref="B715" ca="1">INDEX(Historical!$A$1:$A$18, RANDBETWEEN(1, COUNTA(Historical!$A$1:$A$18)))</f>
        <v>1.3707865168539326</v>
      </c>
      <c r="C715" s="42">
        <f ca="1">Inputs!$B$2/B715</f>
        <v>163.40983606557376</v>
      </c>
      <c r="D715" s="43">
        <f ca="1">WORKDAY(Inputs!$B$3, ROUND(C715, 0),Sheet2!$A$2:$A$21)</f>
        <v>46255</v>
      </c>
    </row>
    <row r="716" spans="1:4" x14ac:dyDescent="0.25">
      <c r="A716" s="42">
        <f t="shared" si="13"/>
        <v>715</v>
      </c>
      <c r="B716" s="42" cm="1">
        <f t="array" aca="1" ref="B716" ca="1">INDEX(Historical!$A$1:$A$18, RANDBETWEEN(1, COUNTA(Historical!$A$1:$A$18)))</f>
        <v>1.3214285714285714</v>
      </c>
      <c r="C716" s="42">
        <f ca="1">Inputs!$B$2/B716</f>
        <v>169.51351351351352</v>
      </c>
      <c r="D716" s="43">
        <f ca="1">WORKDAY(Inputs!$B$3, ROUND(C716, 0),Sheet2!$A$2:$A$21)</f>
        <v>46266</v>
      </c>
    </row>
    <row r="717" spans="1:4" x14ac:dyDescent="0.25">
      <c r="A717" s="42">
        <f t="shared" si="13"/>
        <v>716</v>
      </c>
      <c r="B717" s="42" cm="1">
        <f t="array" aca="1" ref="B717" ca="1">INDEX(Historical!$A$1:$A$18, RANDBETWEEN(1, COUNTA(Historical!$A$1:$A$18)))</f>
        <v>1.4347826086956521</v>
      </c>
      <c r="C717" s="42">
        <f ca="1">Inputs!$B$2/B717</f>
        <v>156.12121212121212</v>
      </c>
      <c r="D717" s="43">
        <f ca="1">WORKDAY(Inputs!$B$3, ROUND(C717, 0),Sheet2!$A$2:$A$21)</f>
        <v>46246</v>
      </c>
    </row>
    <row r="718" spans="1:4" x14ac:dyDescent="0.25">
      <c r="A718" s="42">
        <f t="shared" si="13"/>
        <v>717</v>
      </c>
      <c r="B718" s="42" cm="1">
        <f t="array" aca="1" ref="B718" ca="1">INDEX(Historical!$A$1:$A$18, RANDBETWEEN(1, COUNTA(Historical!$A$1:$A$18)))</f>
        <v>1.3559322033898304</v>
      </c>
      <c r="C718" s="42">
        <f ca="1">Inputs!$B$2/B718</f>
        <v>165.20000000000002</v>
      </c>
      <c r="D718" s="43">
        <f ca="1">WORKDAY(Inputs!$B$3, ROUND(C718, 0),Sheet2!$A$2:$A$21)</f>
        <v>46259</v>
      </c>
    </row>
    <row r="719" spans="1:4" x14ac:dyDescent="0.25">
      <c r="A719" s="42">
        <f t="shared" si="13"/>
        <v>718</v>
      </c>
      <c r="B719" s="42" cm="1">
        <f t="array" aca="1" ref="B719" ca="1">INDEX(Historical!$A$1:$A$18, RANDBETWEEN(1, COUNTA(Historical!$A$1:$A$18)))</f>
        <v>1.3214285714285714</v>
      </c>
      <c r="C719" s="42">
        <f ca="1">Inputs!$B$2/B719</f>
        <v>169.51351351351352</v>
      </c>
      <c r="D719" s="43">
        <f ca="1">WORKDAY(Inputs!$B$3, ROUND(C719, 0),Sheet2!$A$2:$A$21)</f>
        <v>46266</v>
      </c>
    </row>
    <row r="720" spans="1:4" x14ac:dyDescent="0.25">
      <c r="A720" s="42">
        <f t="shared" si="13"/>
        <v>719</v>
      </c>
      <c r="B720" s="42" cm="1">
        <f t="array" aca="1" ref="B720" ca="1">INDEX(Historical!$A$1:$A$18, RANDBETWEEN(1, COUNTA(Historical!$A$1:$A$18)))</f>
        <v>1.1666666666666667</v>
      </c>
      <c r="C720" s="42">
        <f ca="1">Inputs!$B$2/B720</f>
        <v>192</v>
      </c>
      <c r="D720" s="43">
        <f ca="1">WORKDAY(Inputs!$B$3, ROUND(C720, 0),Sheet2!$A$2:$A$21)</f>
        <v>46297</v>
      </c>
    </row>
    <row r="721" spans="1:4" x14ac:dyDescent="0.25">
      <c r="A721" s="42">
        <f t="shared" si="13"/>
        <v>720</v>
      </c>
      <c r="B721" s="42" cm="1">
        <f t="array" aca="1" ref="B721" ca="1">INDEX(Historical!$A$1:$A$18, RANDBETWEEN(1, COUNTA(Historical!$A$1:$A$18)))</f>
        <v>1.303030303030303</v>
      </c>
      <c r="C721" s="42">
        <f ca="1">Inputs!$B$2/B721</f>
        <v>171.90697674418604</v>
      </c>
      <c r="D721" s="43">
        <f ca="1">WORKDAY(Inputs!$B$3, ROUND(C721, 0),Sheet2!$A$2:$A$21)</f>
        <v>46268</v>
      </c>
    </row>
    <row r="722" spans="1:4" x14ac:dyDescent="0.25">
      <c r="A722" s="42">
        <f t="shared" si="13"/>
        <v>721</v>
      </c>
      <c r="B722" s="42" cm="1">
        <f t="array" aca="1" ref="B722" ca="1">INDEX(Historical!$A$1:$A$18, RANDBETWEEN(1, COUNTA(Historical!$A$1:$A$18)))</f>
        <v>1.3617021276595744</v>
      </c>
      <c r="C722" s="42">
        <f ca="1">Inputs!$B$2/B722</f>
        <v>164.5</v>
      </c>
      <c r="D722" s="43">
        <f ca="1">WORKDAY(Inputs!$B$3, ROUND(C722, 0),Sheet2!$A$2:$A$21)</f>
        <v>46259</v>
      </c>
    </row>
    <row r="723" spans="1:4" x14ac:dyDescent="0.25">
      <c r="A723" s="42">
        <f t="shared" si="13"/>
        <v>722</v>
      </c>
      <c r="B723" s="42" cm="1">
        <f t="array" aca="1" ref="B723" ca="1">INDEX(Historical!$A$1:$A$18, RANDBETWEEN(1, COUNTA(Historical!$A$1:$A$18)))</f>
        <v>1.2941176470588236</v>
      </c>
      <c r="C723" s="42">
        <f ca="1">Inputs!$B$2/B723</f>
        <v>173.09090909090909</v>
      </c>
      <c r="D723" s="43">
        <f ca="1">WORKDAY(Inputs!$B$3, ROUND(C723, 0),Sheet2!$A$2:$A$21)</f>
        <v>46269</v>
      </c>
    </row>
    <row r="724" spans="1:4" x14ac:dyDescent="0.25">
      <c r="A724" s="42">
        <f t="shared" si="13"/>
        <v>723</v>
      </c>
      <c r="B724" s="42" cm="1">
        <f t="array" aca="1" ref="B724" ca="1">INDEX(Historical!$A$1:$A$18, RANDBETWEEN(1, COUNTA(Historical!$A$1:$A$18)))</f>
        <v>1.4038461538461537</v>
      </c>
      <c r="C724" s="42">
        <f ca="1">Inputs!$B$2/B724</f>
        <v>159.56164383561645</v>
      </c>
      <c r="D724" s="43">
        <f ca="1">WORKDAY(Inputs!$B$3, ROUND(C724, 0),Sheet2!$A$2:$A$21)</f>
        <v>46252</v>
      </c>
    </row>
    <row r="725" spans="1:4" x14ac:dyDescent="0.25">
      <c r="A725" s="42">
        <f t="shared" si="13"/>
        <v>724</v>
      </c>
      <c r="B725" s="42" cm="1">
        <f t="array" aca="1" ref="B725" ca="1">INDEX(Historical!$A$1:$A$18, RANDBETWEEN(1, COUNTA(Historical!$A$1:$A$18)))</f>
        <v>1.3559322033898304</v>
      </c>
      <c r="C725" s="42">
        <f ca="1">Inputs!$B$2/B725</f>
        <v>165.20000000000002</v>
      </c>
      <c r="D725" s="43">
        <f ca="1">WORKDAY(Inputs!$B$3, ROUND(C725, 0),Sheet2!$A$2:$A$21)</f>
        <v>46259</v>
      </c>
    </row>
    <row r="726" spans="1:4" x14ac:dyDescent="0.25">
      <c r="A726" s="42">
        <f t="shared" si="13"/>
        <v>725</v>
      </c>
      <c r="B726" s="42" cm="1">
        <f t="array" aca="1" ref="B726" ca="1">INDEX(Historical!$A$1:$A$18, RANDBETWEEN(1, COUNTA(Historical!$A$1:$A$18)))</f>
        <v>1.3692307692307693</v>
      </c>
      <c r="C726" s="42">
        <f ca="1">Inputs!$B$2/B726</f>
        <v>163.59550561797752</v>
      </c>
      <c r="D726" s="43">
        <f ca="1">WORKDAY(Inputs!$B$3, ROUND(C726, 0),Sheet2!$A$2:$A$21)</f>
        <v>46258</v>
      </c>
    </row>
    <row r="727" spans="1:4" x14ac:dyDescent="0.25">
      <c r="A727" s="42">
        <f t="shared" si="13"/>
        <v>726</v>
      </c>
      <c r="B727" s="42" cm="1">
        <f t="array" aca="1" ref="B727" ca="1">INDEX(Historical!$A$1:$A$18, RANDBETWEEN(1, COUNTA(Historical!$A$1:$A$18)))</f>
        <v>1.1666666666666667</v>
      </c>
      <c r="C727" s="42">
        <f ca="1">Inputs!$B$2/B727</f>
        <v>192</v>
      </c>
      <c r="D727" s="43">
        <f ca="1">WORKDAY(Inputs!$B$3, ROUND(C727, 0),Sheet2!$A$2:$A$21)</f>
        <v>46297</v>
      </c>
    </row>
    <row r="728" spans="1:4" x14ac:dyDescent="0.25">
      <c r="A728" s="42">
        <f t="shared" si="13"/>
        <v>727</v>
      </c>
      <c r="B728" s="42" cm="1">
        <f t="array" aca="1" ref="B728" ca="1">INDEX(Historical!$A$1:$A$18, RANDBETWEEN(1, COUNTA(Historical!$A$1:$A$18)))</f>
        <v>1.3617021276595744</v>
      </c>
      <c r="C728" s="42">
        <f ca="1">Inputs!$B$2/B728</f>
        <v>164.5</v>
      </c>
      <c r="D728" s="43">
        <f ca="1">WORKDAY(Inputs!$B$3, ROUND(C728, 0),Sheet2!$A$2:$A$21)</f>
        <v>46259</v>
      </c>
    </row>
    <row r="729" spans="1:4" x14ac:dyDescent="0.25">
      <c r="A729" s="42">
        <f t="shared" si="13"/>
        <v>728</v>
      </c>
      <c r="B729" s="42" cm="1">
        <f t="array" aca="1" ref="B729" ca="1">INDEX(Historical!$A$1:$A$18, RANDBETWEEN(1, COUNTA(Historical!$A$1:$A$18)))</f>
        <v>1.2941176470588236</v>
      </c>
      <c r="C729" s="42">
        <f ca="1">Inputs!$B$2/B729</f>
        <v>173.09090909090909</v>
      </c>
      <c r="D729" s="43">
        <f ca="1">WORKDAY(Inputs!$B$3, ROUND(C729, 0),Sheet2!$A$2:$A$21)</f>
        <v>46269</v>
      </c>
    </row>
    <row r="730" spans="1:4" x14ac:dyDescent="0.25">
      <c r="A730" s="42">
        <f t="shared" si="13"/>
        <v>729</v>
      </c>
      <c r="B730" s="42" cm="1">
        <f t="array" aca="1" ref="B730" ca="1">INDEX(Historical!$A$1:$A$18, RANDBETWEEN(1, COUNTA(Historical!$A$1:$A$18)))</f>
        <v>1.3692307692307693</v>
      </c>
      <c r="C730" s="42">
        <f ca="1">Inputs!$B$2/B730</f>
        <v>163.59550561797752</v>
      </c>
      <c r="D730" s="43">
        <f ca="1">WORKDAY(Inputs!$B$3, ROUND(C730, 0),Sheet2!$A$2:$A$21)</f>
        <v>46258</v>
      </c>
    </row>
    <row r="731" spans="1:4" x14ac:dyDescent="0.25">
      <c r="A731" s="42">
        <f t="shared" si="13"/>
        <v>730</v>
      </c>
      <c r="B731" s="42" cm="1">
        <f t="array" aca="1" ref="B731" ca="1">INDEX(Historical!$A$1:$A$18, RANDBETWEEN(1, COUNTA(Historical!$A$1:$A$18)))</f>
        <v>1.375</v>
      </c>
      <c r="C731" s="42">
        <f ca="1">Inputs!$B$2/B731</f>
        <v>162.90909090909091</v>
      </c>
      <c r="D731" s="43">
        <f ca="1">WORKDAY(Inputs!$B$3, ROUND(C731, 0),Sheet2!$A$2:$A$21)</f>
        <v>46255</v>
      </c>
    </row>
    <row r="732" spans="1:4" x14ac:dyDescent="0.25">
      <c r="A732" s="42">
        <f t="shared" si="13"/>
        <v>731</v>
      </c>
      <c r="B732" s="42" cm="1">
        <f t="array" aca="1" ref="B732" ca="1">INDEX(Historical!$A$1:$A$18, RANDBETWEEN(1, COUNTA(Historical!$A$1:$A$18)))</f>
        <v>1.4347826086956521</v>
      </c>
      <c r="C732" s="42">
        <f ca="1">Inputs!$B$2/B732</f>
        <v>156.12121212121212</v>
      </c>
      <c r="D732" s="43">
        <f ca="1">WORKDAY(Inputs!$B$3, ROUND(C732, 0),Sheet2!$A$2:$A$21)</f>
        <v>46246</v>
      </c>
    </row>
    <row r="733" spans="1:4" x14ac:dyDescent="0.25">
      <c r="A733" s="42">
        <f t="shared" si="13"/>
        <v>732</v>
      </c>
      <c r="B733" s="42" cm="1">
        <f t="array" aca="1" ref="B733" ca="1">INDEX(Historical!$A$1:$A$18, RANDBETWEEN(1, COUNTA(Historical!$A$1:$A$18)))</f>
        <v>1.3214285714285714</v>
      </c>
      <c r="C733" s="42">
        <f ca="1">Inputs!$B$2/B733</f>
        <v>169.51351351351352</v>
      </c>
      <c r="D733" s="43">
        <f ca="1">WORKDAY(Inputs!$B$3, ROUND(C733, 0),Sheet2!$A$2:$A$21)</f>
        <v>46266</v>
      </c>
    </row>
    <row r="734" spans="1:4" x14ac:dyDescent="0.25">
      <c r="A734" s="42">
        <f t="shared" si="13"/>
        <v>733</v>
      </c>
      <c r="B734" s="42" cm="1">
        <f t="array" aca="1" ref="B734" ca="1">INDEX(Historical!$A$1:$A$18, RANDBETWEEN(1, COUNTA(Historical!$A$1:$A$18)))</f>
        <v>1.3707865168539326</v>
      </c>
      <c r="C734" s="42">
        <f ca="1">Inputs!$B$2/B734</f>
        <v>163.40983606557376</v>
      </c>
      <c r="D734" s="43">
        <f ca="1">WORKDAY(Inputs!$B$3, ROUND(C734, 0),Sheet2!$A$2:$A$21)</f>
        <v>46255</v>
      </c>
    </row>
    <row r="735" spans="1:4" x14ac:dyDescent="0.25">
      <c r="A735" s="42">
        <f t="shared" si="13"/>
        <v>734</v>
      </c>
      <c r="B735" s="42" cm="1">
        <f t="array" aca="1" ref="B735" ca="1">INDEX(Historical!$A$1:$A$18, RANDBETWEEN(1, COUNTA(Historical!$A$1:$A$18)))</f>
        <v>1.1666666666666667</v>
      </c>
      <c r="C735" s="42">
        <f ca="1">Inputs!$B$2/B735</f>
        <v>192</v>
      </c>
      <c r="D735" s="43">
        <f ca="1">WORKDAY(Inputs!$B$3, ROUND(C735, 0),Sheet2!$A$2:$A$21)</f>
        <v>46297</v>
      </c>
    </row>
    <row r="736" spans="1:4" x14ac:dyDescent="0.25">
      <c r="A736" s="42">
        <f t="shared" si="13"/>
        <v>735</v>
      </c>
      <c r="B736" s="42" cm="1">
        <f t="array" aca="1" ref="B736" ca="1">INDEX(Historical!$A$1:$A$18, RANDBETWEEN(1, COUNTA(Historical!$A$1:$A$18)))</f>
        <v>1.4347826086956521</v>
      </c>
      <c r="C736" s="42">
        <f ca="1">Inputs!$B$2/B736</f>
        <v>156.12121212121212</v>
      </c>
      <c r="D736" s="43">
        <f ca="1">WORKDAY(Inputs!$B$3, ROUND(C736, 0),Sheet2!$A$2:$A$21)</f>
        <v>46246</v>
      </c>
    </row>
    <row r="737" spans="1:4" x14ac:dyDescent="0.25">
      <c r="A737" s="42">
        <f t="shared" si="13"/>
        <v>736</v>
      </c>
      <c r="B737" s="42" cm="1">
        <f t="array" aca="1" ref="B737" ca="1">INDEX(Historical!$A$1:$A$18, RANDBETWEEN(1, COUNTA(Historical!$A$1:$A$18)))</f>
        <v>1.1666666666666667</v>
      </c>
      <c r="C737" s="42">
        <f ca="1">Inputs!$B$2/B737</f>
        <v>192</v>
      </c>
      <c r="D737" s="43">
        <f ca="1">WORKDAY(Inputs!$B$3, ROUND(C737, 0),Sheet2!$A$2:$A$21)</f>
        <v>46297</v>
      </c>
    </row>
    <row r="738" spans="1:4" x14ac:dyDescent="0.25">
      <c r="A738" s="42">
        <f t="shared" si="13"/>
        <v>737</v>
      </c>
      <c r="B738" s="42" cm="1">
        <f t="array" aca="1" ref="B738" ca="1">INDEX(Historical!$A$1:$A$18, RANDBETWEEN(1, COUNTA(Historical!$A$1:$A$18)))</f>
        <v>1.3611111111111112</v>
      </c>
      <c r="C738" s="42">
        <f ca="1">Inputs!$B$2/B738</f>
        <v>164.57142857142856</v>
      </c>
      <c r="D738" s="43">
        <f ca="1">WORKDAY(Inputs!$B$3, ROUND(C738, 0),Sheet2!$A$2:$A$21)</f>
        <v>46259</v>
      </c>
    </row>
    <row r="739" spans="1:4" x14ac:dyDescent="0.25">
      <c r="A739" s="42">
        <f t="shared" si="13"/>
        <v>738</v>
      </c>
      <c r="B739" s="42" cm="1">
        <f t="array" aca="1" ref="B739" ca="1">INDEX(Historical!$A$1:$A$18, RANDBETWEEN(1, COUNTA(Historical!$A$1:$A$18)))</f>
        <v>1.4347826086956521</v>
      </c>
      <c r="C739" s="42">
        <f ca="1">Inputs!$B$2/B739</f>
        <v>156.12121212121212</v>
      </c>
      <c r="D739" s="43">
        <f ca="1">WORKDAY(Inputs!$B$3, ROUND(C739, 0),Sheet2!$A$2:$A$21)</f>
        <v>46246</v>
      </c>
    </row>
    <row r="740" spans="1:4" x14ac:dyDescent="0.25">
      <c r="A740" s="42">
        <f t="shared" si="13"/>
        <v>739</v>
      </c>
      <c r="B740" s="42" cm="1">
        <f t="array" aca="1" ref="B740" ca="1">INDEX(Historical!$A$1:$A$18, RANDBETWEEN(1, COUNTA(Historical!$A$1:$A$18)))</f>
        <v>1.290909090909091</v>
      </c>
      <c r="C740" s="42">
        <f ca="1">Inputs!$B$2/B740</f>
        <v>173.52112676056336</v>
      </c>
      <c r="D740" s="43">
        <f ca="1">WORKDAY(Inputs!$B$3, ROUND(C740, 0),Sheet2!$A$2:$A$21)</f>
        <v>46273</v>
      </c>
    </row>
    <row r="741" spans="1:4" x14ac:dyDescent="0.25">
      <c r="A741" s="42">
        <f t="shared" si="13"/>
        <v>740</v>
      </c>
      <c r="B741" s="42" cm="1">
        <f t="array" aca="1" ref="B741" ca="1">INDEX(Historical!$A$1:$A$18, RANDBETWEEN(1, COUNTA(Historical!$A$1:$A$18)))</f>
        <v>1.1666666666666667</v>
      </c>
      <c r="C741" s="42">
        <f ca="1">Inputs!$B$2/B741</f>
        <v>192</v>
      </c>
      <c r="D741" s="43">
        <f ca="1">WORKDAY(Inputs!$B$3, ROUND(C741, 0),Sheet2!$A$2:$A$21)</f>
        <v>46297</v>
      </c>
    </row>
    <row r="742" spans="1:4" x14ac:dyDescent="0.25">
      <c r="A742" s="42">
        <f t="shared" si="13"/>
        <v>741</v>
      </c>
      <c r="B742" s="42" cm="1">
        <f t="array" aca="1" ref="B742" ca="1">INDEX(Historical!$A$1:$A$18, RANDBETWEEN(1, COUNTA(Historical!$A$1:$A$18)))</f>
        <v>1.3617021276595744</v>
      </c>
      <c r="C742" s="42">
        <f ca="1">Inputs!$B$2/B742</f>
        <v>164.5</v>
      </c>
      <c r="D742" s="43">
        <f ca="1">WORKDAY(Inputs!$B$3, ROUND(C742, 0),Sheet2!$A$2:$A$21)</f>
        <v>46259</v>
      </c>
    </row>
    <row r="743" spans="1:4" x14ac:dyDescent="0.25">
      <c r="A743" s="42">
        <f t="shared" si="13"/>
        <v>742</v>
      </c>
      <c r="B743" s="42" cm="1">
        <f t="array" aca="1" ref="B743" ca="1">INDEX(Historical!$A$1:$A$18, RANDBETWEEN(1, COUNTA(Historical!$A$1:$A$18)))</f>
        <v>1.2941176470588236</v>
      </c>
      <c r="C743" s="42">
        <f ca="1">Inputs!$B$2/B743</f>
        <v>173.09090909090909</v>
      </c>
      <c r="D743" s="43">
        <f ca="1">WORKDAY(Inputs!$B$3, ROUND(C743, 0),Sheet2!$A$2:$A$21)</f>
        <v>46269</v>
      </c>
    </row>
    <row r="744" spans="1:4" x14ac:dyDescent="0.25">
      <c r="A744" s="42">
        <f t="shared" si="13"/>
        <v>743</v>
      </c>
      <c r="B744" s="42" cm="1">
        <f t="array" aca="1" ref="B744" ca="1">INDEX(Historical!$A$1:$A$18, RANDBETWEEN(1, COUNTA(Historical!$A$1:$A$18)))</f>
        <v>1.375</v>
      </c>
      <c r="C744" s="42">
        <f ca="1">Inputs!$B$2/B744</f>
        <v>162.90909090909091</v>
      </c>
      <c r="D744" s="43">
        <f ca="1">WORKDAY(Inputs!$B$3, ROUND(C744, 0),Sheet2!$A$2:$A$21)</f>
        <v>46255</v>
      </c>
    </row>
    <row r="745" spans="1:4" x14ac:dyDescent="0.25">
      <c r="A745" s="42">
        <f t="shared" si="13"/>
        <v>744</v>
      </c>
      <c r="B745" s="42" cm="1">
        <f t="array" aca="1" ref="B745" ca="1">INDEX(Historical!$A$1:$A$18, RANDBETWEEN(1, COUNTA(Historical!$A$1:$A$18)))</f>
        <v>1.4038461538461537</v>
      </c>
      <c r="C745" s="42">
        <f ca="1">Inputs!$B$2/B745</f>
        <v>159.56164383561645</v>
      </c>
      <c r="D745" s="43">
        <f ca="1">WORKDAY(Inputs!$B$3, ROUND(C745, 0),Sheet2!$A$2:$A$21)</f>
        <v>46252</v>
      </c>
    </row>
    <row r="746" spans="1:4" x14ac:dyDescent="0.25">
      <c r="A746" s="42">
        <f t="shared" si="13"/>
        <v>745</v>
      </c>
      <c r="B746" s="42" cm="1">
        <f t="array" aca="1" ref="B746" ca="1">INDEX(Historical!$A$1:$A$18, RANDBETWEEN(1, COUNTA(Historical!$A$1:$A$18)))</f>
        <v>1.3157894736842106</v>
      </c>
      <c r="C746" s="42">
        <f ca="1">Inputs!$B$2/B746</f>
        <v>170.23999999999998</v>
      </c>
      <c r="D746" s="43">
        <f ca="1">WORKDAY(Inputs!$B$3, ROUND(C746, 0),Sheet2!$A$2:$A$21)</f>
        <v>46266</v>
      </c>
    </row>
    <row r="747" spans="1:4" x14ac:dyDescent="0.25">
      <c r="A747" s="42">
        <f t="shared" si="13"/>
        <v>746</v>
      </c>
      <c r="B747" s="42" cm="1">
        <f t="array" aca="1" ref="B747" ca="1">INDEX(Historical!$A$1:$A$18, RANDBETWEEN(1, COUNTA(Historical!$A$1:$A$18)))</f>
        <v>1.5</v>
      </c>
      <c r="C747" s="42">
        <f ca="1">Inputs!$B$2/B747</f>
        <v>149.33333333333334</v>
      </c>
      <c r="D747" s="43">
        <f ca="1">WORKDAY(Inputs!$B$3, ROUND(C747, 0),Sheet2!$A$2:$A$21)</f>
        <v>46237</v>
      </c>
    </row>
    <row r="748" spans="1:4" x14ac:dyDescent="0.25">
      <c r="A748" s="42">
        <f t="shared" si="13"/>
        <v>747</v>
      </c>
      <c r="B748" s="42" cm="1">
        <f t="array" aca="1" ref="B748" ca="1">INDEX(Historical!$A$1:$A$18, RANDBETWEEN(1, COUNTA(Historical!$A$1:$A$18)))</f>
        <v>1.3692307692307693</v>
      </c>
      <c r="C748" s="42">
        <f ca="1">Inputs!$B$2/B748</f>
        <v>163.59550561797752</v>
      </c>
      <c r="D748" s="43">
        <f ca="1">WORKDAY(Inputs!$B$3, ROUND(C748, 0),Sheet2!$A$2:$A$21)</f>
        <v>46258</v>
      </c>
    </row>
    <row r="749" spans="1:4" x14ac:dyDescent="0.25">
      <c r="A749" s="42">
        <f t="shared" si="13"/>
        <v>748</v>
      </c>
      <c r="B749" s="42" cm="1">
        <f t="array" aca="1" ref="B749" ca="1">INDEX(Historical!$A$1:$A$18, RANDBETWEEN(1, COUNTA(Historical!$A$1:$A$18)))</f>
        <v>1.368421052631579</v>
      </c>
      <c r="C749" s="42">
        <f ca="1">Inputs!$B$2/B749</f>
        <v>163.69230769230768</v>
      </c>
      <c r="D749" s="43">
        <f ca="1">WORKDAY(Inputs!$B$3, ROUND(C749, 0),Sheet2!$A$2:$A$21)</f>
        <v>46258</v>
      </c>
    </row>
    <row r="750" spans="1:4" x14ac:dyDescent="0.25">
      <c r="A750" s="42">
        <f t="shared" si="13"/>
        <v>749</v>
      </c>
      <c r="B750" s="42" cm="1">
        <f t="array" aca="1" ref="B750" ca="1">INDEX(Historical!$A$1:$A$18, RANDBETWEEN(1, COUNTA(Historical!$A$1:$A$18)))</f>
        <v>1.3692307692307693</v>
      </c>
      <c r="C750" s="42">
        <f ca="1">Inputs!$B$2/B750</f>
        <v>163.59550561797752</v>
      </c>
      <c r="D750" s="43">
        <f ca="1">WORKDAY(Inputs!$B$3, ROUND(C750, 0),Sheet2!$A$2:$A$21)</f>
        <v>46258</v>
      </c>
    </row>
    <row r="751" spans="1:4" x14ac:dyDescent="0.25">
      <c r="A751" s="42">
        <f t="shared" si="13"/>
        <v>750</v>
      </c>
      <c r="B751" s="42" cm="1">
        <f t="array" aca="1" ref="B751" ca="1">INDEX(Historical!$A$1:$A$18, RANDBETWEEN(1, COUNTA(Historical!$A$1:$A$18)))</f>
        <v>1.3157894736842106</v>
      </c>
      <c r="C751" s="42">
        <f ca="1">Inputs!$B$2/B751</f>
        <v>170.23999999999998</v>
      </c>
      <c r="D751" s="43">
        <f ca="1">WORKDAY(Inputs!$B$3, ROUND(C751, 0),Sheet2!$A$2:$A$21)</f>
        <v>46266</v>
      </c>
    </row>
    <row r="752" spans="1:4" x14ac:dyDescent="0.25">
      <c r="A752" s="42">
        <f t="shared" si="13"/>
        <v>751</v>
      </c>
      <c r="B752" s="42" cm="1">
        <f t="array" aca="1" ref="B752" ca="1">INDEX(Historical!$A$1:$A$18, RANDBETWEEN(1, COUNTA(Historical!$A$1:$A$18)))</f>
        <v>1.3157894736842106</v>
      </c>
      <c r="C752" s="42">
        <f ca="1">Inputs!$B$2/B752</f>
        <v>170.23999999999998</v>
      </c>
      <c r="D752" s="43">
        <f ca="1">WORKDAY(Inputs!$B$3, ROUND(C752, 0),Sheet2!$A$2:$A$21)</f>
        <v>46266</v>
      </c>
    </row>
    <row r="753" spans="1:4" x14ac:dyDescent="0.25">
      <c r="A753" s="42">
        <f t="shared" si="13"/>
        <v>752</v>
      </c>
      <c r="B753" s="42" cm="1">
        <f t="array" aca="1" ref="B753" ca="1">INDEX(Historical!$A$1:$A$18, RANDBETWEEN(1, COUNTA(Historical!$A$1:$A$18)))</f>
        <v>1.3692307692307693</v>
      </c>
      <c r="C753" s="42">
        <f ca="1">Inputs!$B$2/B753</f>
        <v>163.59550561797752</v>
      </c>
      <c r="D753" s="43">
        <f ca="1">WORKDAY(Inputs!$B$3, ROUND(C753, 0),Sheet2!$A$2:$A$21)</f>
        <v>46258</v>
      </c>
    </row>
    <row r="754" spans="1:4" x14ac:dyDescent="0.25">
      <c r="A754" s="42">
        <f t="shared" si="13"/>
        <v>753</v>
      </c>
      <c r="B754" s="42" cm="1">
        <f t="array" aca="1" ref="B754" ca="1">INDEX(Historical!$A$1:$A$18, RANDBETWEEN(1, COUNTA(Historical!$A$1:$A$18)))</f>
        <v>1.3617021276595744</v>
      </c>
      <c r="C754" s="42">
        <f ca="1">Inputs!$B$2/B754</f>
        <v>164.5</v>
      </c>
      <c r="D754" s="43">
        <f ca="1">WORKDAY(Inputs!$B$3, ROUND(C754, 0),Sheet2!$A$2:$A$21)</f>
        <v>46259</v>
      </c>
    </row>
    <row r="755" spans="1:4" x14ac:dyDescent="0.25">
      <c r="A755" s="42">
        <f t="shared" si="13"/>
        <v>754</v>
      </c>
      <c r="B755" s="42" cm="1">
        <f t="array" aca="1" ref="B755" ca="1">INDEX(Historical!$A$1:$A$18, RANDBETWEEN(1, COUNTA(Historical!$A$1:$A$18)))</f>
        <v>1.3617021276595744</v>
      </c>
      <c r="C755" s="42">
        <f ca="1">Inputs!$B$2/B755</f>
        <v>164.5</v>
      </c>
      <c r="D755" s="43">
        <f ca="1">WORKDAY(Inputs!$B$3, ROUND(C755, 0),Sheet2!$A$2:$A$21)</f>
        <v>46259</v>
      </c>
    </row>
    <row r="756" spans="1:4" x14ac:dyDescent="0.25">
      <c r="A756" s="42">
        <f t="shared" si="13"/>
        <v>755</v>
      </c>
      <c r="B756" s="42" cm="1">
        <f t="array" aca="1" ref="B756" ca="1">INDEX(Historical!$A$1:$A$18, RANDBETWEEN(1, COUNTA(Historical!$A$1:$A$18)))</f>
        <v>1.4761904761904763</v>
      </c>
      <c r="C756" s="42">
        <f ca="1">Inputs!$B$2/B756</f>
        <v>151.74193548387095</v>
      </c>
      <c r="D756" s="43">
        <f ca="1">WORKDAY(Inputs!$B$3, ROUND(C756, 0),Sheet2!$A$2:$A$21)</f>
        <v>46240</v>
      </c>
    </row>
    <row r="757" spans="1:4" x14ac:dyDescent="0.25">
      <c r="A757" s="42">
        <f t="shared" si="13"/>
        <v>756</v>
      </c>
      <c r="B757" s="42" cm="1">
        <f t="array" aca="1" ref="B757" ca="1">INDEX(Historical!$A$1:$A$18, RANDBETWEEN(1, COUNTA(Historical!$A$1:$A$18)))</f>
        <v>1.375</v>
      </c>
      <c r="C757" s="42">
        <f ca="1">Inputs!$B$2/B757</f>
        <v>162.90909090909091</v>
      </c>
      <c r="D757" s="43">
        <f ca="1">WORKDAY(Inputs!$B$3, ROUND(C757, 0),Sheet2!$A$2:$A$21)</f>
        <v>46255</v>
      </c>
    </row>
    <row r="758" spans="1:4" x14ac:dyDescent="0.25">
      <c r="A758" s="42">
        <f t="shared" si="13"/>
        <v>757</v>
      </c>
      <c r="B758" s="42" cm="1">
        <f t="array" aca="1" ref="B758" ca="1">INDEX(Historical!$A$1:$A$18, RANDBETWEEN(1, COUNTA(Historical!$A$1:$A$18)))</f>
        <v>1.290909090909091</v>
      </c>
      <c r="C758" s="42">
        <f ca="1">Inputs!$B$2/B758</f>
        <v>173.52112676056336</v>
      </c>
      <c r="D758" s="43">
        <f ca="1">WORKDAY(Inputs!$B$3, ROUND(C758, 0),Sheet2!$A$2:$A$21)</f>
        <v>46273</v>
      </c>
    </row>
    <row r="759" spans="1:4" x14ac:dyDescent="0.25">
      <c r="A759" s="42">
        <f t="shared" si="13"/>
        <v>758</v>
      </c>
      <c r="B759" s="42" cm="1">
        <f t="array" aca="1" ref="B759" ca="1">INDEX(Historical!$A$1:$A$18, RANDBETWEEN(1, COUNTA(Historical!$A$1:$A$18)))</f>
        <v>1.3707865168539326</v>
      </c>
      <c r="C759" s="42">
        <f ca="1">Inputs!$B$2/B759</f>
        <v>163.40983606557376</v>
      </c>
      <c r="D759" s="43">
        <f ca="1">WORKDAY(Inputs!$B$3, ROUND(C759, 0),Sheet2!$A$2:$A$21)</f>
        <v>46255</v>
      </c>
    </row>
    <row r="760" spans="1:4" x14ac:dyDescent="0.25">
      <c r="A760" s="42">
        <f t="shared" si="13"/>
        <v>759</v>
      </c>
      <c r="B760" s="42" cm="1">
        <f t="array" aca="1" ref="B760" ca="1">INDEX(Historical!$A$1:$A$18, RANDBETWEEN(1, COUNTA(Historical!$A$1:$A$18)))</f>
        <v>1.3692307692307693</v>
      </c>
      <c r="C760" s="42">
        <f ca="1">Inputs!$B$2/B760</f>
        <v>163.59550561797752</v>
      </c>
      <c r="D760" s="43">
        <f ca="1">WORKDAY(Inputs!$B$3, ROUND(C760, 0),Sheet2!$A$2:$A$21)</f>
        <v>46258</v>
      </c>
    </row>
    <row r="761" spans="1:4" x14ac:dyDescent="0.25">
      <c r="A761" s="42">
        <f t="shared" si="13"/>
        <v>760</v>
      </c>
      <c r="B761" s="42" cm="1">
        <f t="array" aca="1" ref="B761" ca="1">INDEX(Historical!$A$1:$A$18, RANDBETWEEN(1, COUNTA(Historical!$A$1:$A$18)))</f>
        <v>1.3214285714285714</v>
      </c>
      <c r="C761" s="42">
        <f ca="1">Inputs!$B$2/B761</f>
        <v>169.51351351351352</v>
      </c>
      <c r="D761" s="43">
        <f ca="1">WORKDAY(Inputs!$B$3, ROUND(C761, 0),Sheet2!$A$2:$A$21)</f>
        <v>46266</v>
      </c>
    </row>
    <row r="762" spans="1:4" x14ac:dyDescent="0.25">
      <c r="A762" s="42">
        <f t="shared" si="13"/>
        <v>761</v>
      </c>
      <c r="B762" s="42" cm="1">
        <f t="array" aca="1" ref="B762" ca="1">INDEX(Historical!$A$1:$A$18, RANDBETWEEN(1, COUNTA(Historical!$A$1:$A$18)))</f>
        <v>1.4761904761904763</v>
      </c>
      <c r="C762" s="42">
        <f ca="1">Inputs!$B$2/B762</f>
        <v>151.74193548387095</v>
      </c>
      <c r="D762" s="43">
        <f ca="1">WORKDAY(Inputs!$B$3, ROUND(C762, 0),Sheet2!$A$2:$A$21)</f>
        <v>46240</v>
      </c>
    </row>
    <row r="763" spans="1:4" x14ac:dyDescent="0.25">
      <c r="A763" s="42">
        <f t="shared" si="13"/>
        <v>762</v>
      </c>
      <c r="B763" s="42" cm="1">
        <f t="array" aca="1" ref="B763" ca="1">INDEX(Historical!$A$1:$A$18, RANDBETWEEN(1, COUNTA(Historical!$A$1:$A$18)))</f>
        <v>1.3157894736842106</v>
      </c>
      <c r="C763" s="42">
        <f ca="1">Inputs!$B$2/B763</f>
        <v>170.23999999999998</v>
      </c>
      <c r="D763" s="43">
        <f ca="1">WORKDAY(Inputs!$B$3, ROUND(C763, 0),Sheet2!$A$2:$A$21)</f>
        <v>46266</v>
      </c>
    </row>
    <row r="764" spans="1:4" x14ac:dyDescent="0.25">
      <c r="A764" s="42">
        <f t="shared" si="13"/>
        <v>763</v>
      </c>
      <c r="B764" s="42" cm="1">
        <f t="array" aca="1" ref="B764" ca="1">INDEX(Historical!$A$1:$A$18, RANDBETWEEN(1, COUNTA(Historical!$A$1:$A$18)))</f>
        <v>1.3611111111111112</v>
      </c>
      <c r="C764" s="42">
        <f ca="1">Inputs!$B$2/B764</f>
        <v>164.57142857142856</v>
      </c>
      <c r="D764" s="43">
        <f ca="1">WORKDAY(Inputs!$B$3, ROUND(C764, 0),Sheet2!$A$2:$A$21)</f>
        <v>46259</v>
      </c>
    </row>
    <row r="765" spans="1:4" x14ac:dyDescent="0.25">
      <c r="A765" s="42">
        <f t="shared" si="13"/>
        <v>764</v>
      </c>
      <c r="B765" s="42" cm="1">
        <f t="array" aca="1" ref="B765" ca="1">INDEX(Historical!$A$1:$A$18, RANDBETWEEN(1, COUNTA(Historical!$A$1:$A$18)))</f>
        <v>1.4761904761904763</v>
      </c>
      <c r="C765" s="42">
        <f ca="1">Inputs!$B$2/B765</f>
        <v>151.74193548387095</v>
      </c>
      <c r="D765" s="43">
        <f ca="1">WORKDAY(Inputs!$B$3, ROUND(C765, 0),Sheet2!$A$2:$A$21)</f>
        <v>46240</v>
      </c>
    </row>
    <row r="766" spans="1:4" x14ac:dyDescent="0.25">
      <c r="A766" s="42">
        <f t="shared" si="13"/>
        <v>765</v>
      </c>
      <c r="B766" s="42" cm="1">
        <f t="array" aca="1" ref="B766" ca="1">INDEX(Historical!$A$1:$A$18, RANDBETWEEN(1, COUNTA(Historical!$A$1:$A$18)))</f>
        <v>1.3214285714285714</v>
      </c>
      <c r="C766" s="42">
        <f ca="1">Inputs!$B$2/B766</f>
        <v>169.51351351351352</v>
      </c>
      <c r="D766" s="43">
        <f ca="1">WORKDAY(Inputs!$B$3, ROUND(C766, 0),Sheet2!$A$2:$A$21)</f>
        <v>46266</v>
      </c>
    </row>
    <row r="767" spans="1:4" x14ac:dyDescent="0.25">
      <c r="A767" s="42">
        <f t="shared" si="13"/>
        <v>766</v>
      </c>
      <c r="B767" s="42" cm="1">
        <f t="array" aca="1" ref="B767" ca="1">INDEX(Historical!$A$1:$A$18, RANDBETWEEN(1, COUNTA(Historical!$A$1:$A$18)))</f>
        <v>1.2941176470588236</v>
      </c>
      <c r="C767" s="42">
        <f ca="1">Inputs!$B$2/B767</f>
        <v>173.09090909090909</v>
      </c>
      <c r="D767" s="43">
        <f ca="1">WORKDAY(Inputs!$B$3, ROUND(C767, 0),Sheet2!$A$2:$A$21)</f>
        <v>46269</v>
      </c>
    </row>
    <row r="768" spans="1:4" x14ac:dyDescent="0.25">
      <c r="A768" s="42">
        <f t="shared" si="13"/>
        <v>767</v>
      </c>
      <c r="B768" s="42" cm="1">
        <f t="array" aca="1" ref="B768" ca="1">INDEX(Historical!$A$1:$A$18, RANDBETWEEN(1, COUNTA(Historical!$A$1:$A$18)))</f>
        <v>1.5</v>
      </c>
      <c r="C768" s="42">
        <f ca="1">Inputs!$B$2/B768</f>
        <v>149.33333333333334</v>
      </c>
      <c r="D768" s="43">
        <f ca="1">WORKDAY(Inputs!$B$3, ROUND(C768, 0),Sheet2!$A$2:$A$21)</f>
        <v>46237</v>
      </c>
    </row>
    <row r="769" spans="1:4" x14ac:dyDescent="0.25">
      <c r="A769" s="42">
        <f t="shared" si="13"/>
        <v>768</v>
      </c>
      <c r="B769" s="42" cm="1">
        <f t="array" aca="1" ref="B769" ca="1">INDEX(Historical!$A$1:$A$18, RANDBETWEEN(1, COUNTA(Historical!$A$1:$A$18)))</f>
        <v>1.3617021276595744</v>
      </c>
      <c r="C769" s="42">
        <f ca="1">Inputs!$B$2/B769</f>
        <v>164.5</v>
      </c>
      <c r="D769" s="43">
        <f ca="1">WORKDAY(Inputs!$B$3, ROUND(C769, 0),Sheet2!$A$2:$A$21)</f>
        <v>46259</v>
      </c>
    </row>
    <row r="770" spans="1:4" x14ac:dyDescent="0.25">
      <c r="A770" s="42">
        <f t="shared" si="13"/>
        <v>769</v>
      </c>
      <c r="B770" s="42" cm="1">
        <f t="array" aca="1" ref="B770" ca="1">INDEX(Historical!$A$1:$A$18, RANDBETWEEN(1, COUNTA(Historical!$A$1:$A$18)))</f>
        <v>1.375</v>
      </c>
      <c r="C770" s="42">
        <f ca="1">Inputs!$B$2/B770</f>
        <v>162.90909090909091</v>
      </c>
      <c r="D770" s="43">
        <f ca="1">WORKDAY(Inputs!$B$3, ROUND(C770, 0),Sheet2!$A$2:$A$21)</f>
        <v>46255</v>
      </c>
    </row>
    <row r="771" spans="1:4" x14ac:dyDescent="0.25">
      <c r="A771" s="42">
        <f t="shared" ref="A771:A834" si="14">ROW()-1</f>
        <v>770</v>
      </c>
      <c r="B771" s="42" cm="1">
        <f t="array" aca="1" ref="B771" ca="1">INDEX(Historical!$A$1:$A$18, RANDBETWEEN(1, COUNTA(Historical!$A$1:$A$18)))</f>
        <v>1.3559322033898304</v>
      </c>
      <c r="C771" s="42">
        <f ca="1">Inputs!$B$2/B771</f>
        <v>165.20000000000002</v>
      </c>
      <c r="D771" s="43">
        <f ca="1">WORKDAY(Inputs!$B$3, ROUND(C771, 0),Sheet2!$A$2:$A$21)</f>
        <v>46259</v>
      </c>
    </row>
    <row r="772" spans="1:4" x14ac:dyDescent="0.25">
      <c r="A772" s="42">
        <f t="shared" si="14"/>
        <v>771</v>
      </c>
      <c r="B772" s="42" cm="1">
        <f t="array" aca="1" ref="B772" ca="1">INDEX(Historical!$A$1:$A$18, RANDBETWEEN(1, COUNTA(Historical!$A$1:$A$18)))</f>
        <v>1.3157894736842106</v>
      </c>
      <c r="C772" s="42">
        <f ca="1">Inputs!$B$2/B772</f>
        <v>170.23999999999998</v>
      </c>
      <c r="D772" s="43">
        <f ca="1">WORKDAY(Inputs!$B$3, ROUND(C772, 0),Sheet2!$A$2:$A$21)</f>
        <v>46266</v>
      </c>
    </row>
    <row r="773" spans="1:4" x14ac:dyDescent="0.25">
      <c r="A773" s="42">
        <f t="shared" si="14"/>
        <v>772</v>
      </c>
      <c r="B773" s="42" cm="1">
        <f t="array" aca="1" ref="B773" ca="1">INDEX(Historical!$A$1:$A$18, RANDBETWEEN(1, COUNTA(Historical!$A$1:$A$18)))</f>
        <v>1.3692307692307693</v>
      </c>
      <c r="C773" s="42">
        <f ca="1">Inputs!$B$2/B773</f>
        <v>163.59550561797752</v>
      </c>
      <c r="D773" s="43">
        <f ca="1">WORKDAY(Inputs!$B$3, ROUND(C773, 0),Sheet2!$A$2:$A$21)</f>
        <v>46258</v>
      </c>
    </row>
    <row r="774" spans="1:4" x14ac:dyDescent="0.25">
      <c r="A774" s="42">
        <f t="shared" si="14"/>
        <v>773</v>
      </c>
      <c r="B774" s="42" cm="1">
        <f t="array" aca="1" ref="B774" ca="1">INDEX(Historical!$A$1:$A$18, RANDBETWEEN(1, COUNTA(Historical!$A$1:$A$18)))</f>
        <v>1.3617021276595744</v>
      </c>
      <c r="C774" s="42">
        <f ca="1">Inputs!$B$2/B774</f>
        <v>164.5</v>
      </c>
      <c r="D774" s="43">
        <f ca="1">WORKDAY(Inputs!$B$3, ROUND(C774, 0),Sheet2!$A$2:$A$21)</f>
        <v>46259</v>
      </c>
    </row>
    <row r="775" spans="1:4" x14ac:dyDescent="0.25">
      <c r="A775" s="42">
        <f t="shared" si="14"/>
        <v>774</v>
      </c>
      <c r="B775" s="42" cm="1">
        <f t="array" aca="1" ref="B775" ca="1">INDEX(Historical!$A$1:$A$18, RANDBETWEEN(1, COUNTA(Historical!$A$1:$A$18)))</f>
        <v>1.4761904761904763</v>
      </c>
      <c r="C775" s="42">
        <f ca="1">Inputs!$B$2/B775</f>
        <v>151.74193548387095</v>
      </c>
      <c r="D775" s="43">
        <f ca="1">WORKDAY(Inputs!$B$3, ROUND(C775, 0),Sheet2!$A$2:$A$21)</f>
        <v>46240</v>
      </c>
    </row>
    <row r="776" spans="1:4" x14ac:dyDescent="0.25">
      <c r="A776" s="42">
        <f t="shared" si="14"/>
        <v>775</v>
      </c>
      <c r="B776" s="42" cm="1">
        <f t="array" aca="1" ref="B776" ca="1">INDEX(Historical!$A$1:$A$18, RANDBETWEEN(1, COUNTA(Historical!$A$1:$A$18)))</f>
        <v>1.2941176470588236</v>
      </c>
      <c r="C776" s="42">
        <f ca="1">Inputs!$B$2/B776</f>
        <v>173.09090909090909</v>
      </c>
      <c r="D776" s="43">
        <f ca="1">WORKDAY(Inputs!$B$3, ROUND(C776, 0),Sheet2!$A$2:$A$21)</f>
        <v>46269</v>
      </c>
    </row>
    <row r="777" spans="1:4" x14ac:dyDescent="0.25">
      <c r="A777" s="42">
        <f t="shared" si="14"/>
        <v>776</v>
      </c>
      <c r="B777" s="42" cm="1">
        <f t="array" aca="1" ref="B777" ca="1">INDEX(Historical!$A$1:$A$18, RANDBETWEEN(1, COUNTA(Historical!$A$1:$A$18)))</f>
        <v>1.4347826086956521</v>
      </c>
      <c r="C777" s="42">
        <f ca="1">Inputs!$B$2/B777</f>
        <v>156.12121212121212</v>
      </c>
      <c r="D777" s="43">
        <f ca="1">WORKDAY(Inputs!$B$3, ROUND(C777, 0),Sheet2!$A$2:$A$21)</f>
        <v>46246</v>
      </c>
    </row>
    <row r="778" spans="1:4" x14ac:dyDescent="0.25">
      <c r="A778" s="42">
        <f t="shared" si="14"/>
        <v>777</v>
      </c>
      <c r="B778" s="42" cm="1">
        <f t="array" aca="1" ref="B778" ca="1">INDEX(Historical!$A$1:$A$18, RANDBETWEEN(1, COUNTA(Historical!$A$1:$A$18)))</f>
        <v>1.3157894736842106</v>
      </c>
      <c r="C778" s="42">
        <f ca="1">Inputs!$B$2/B778</f>
        <v>170.23999999999998</v>
      </c>
      <c r="D778" s="43">
        <f ca="1">WORKDAY(Inputs!$B$3, ROUND(C778, 0),Sheet2!$A$2:$A$21)</f>
        <v>46266</v>
      </c>
    </row>
    <row r="779" spans="1:4" x14ac:dyDescent="0.25">
      <c r="A779" s="42">
        <f t="shared" si="14"/>
        <v>778</v>
      </c>
      <c r="B779" s="42" cm="1">
        <f t="array" aca="1" ref="B779" ca="1">INDEX(Historical!$A$1:$A$18, RANDBETWEEN(1, COUNTA(Historical!$A$1:$A$18)))</f>
        <v>1.3617021276595744</v>
      </c>
      <c r="C779" s="42">
        <f ca="1">Inputs!$B$2/B779</f>
        <v>164.5</v>
      </c>
      <c r="D779" s="43">
        <f ca="1">WORKDAY(Inputs!$B$3, ROUND(C779, 0),Sheet2!$A$2:$A$21)</f>
        <v>46259</v>
      </c>
    </row>
    <row r="780" spans="1:4" x14ac:dyDescent="0.25">
      <c r="A780" s="42">
        <f t="shared" si="14"/>
        <v>779</v>
      </c>
      <c r="B780" s="42" cm="1">
        <f t="array" aca="1" ref="B780" ca="1">INDEX(Historical!$A$1:$A$18, RANDBETWEEN(1, COUNTA(Historical!$A$1:$A$18)))</f>
        <v>1.4761904761904763</v>
      </c>
      <c r="C780" s="42">
        <f ca="1">Inputs!$B$2/B780</f>
        <v>151.74193548387095</v>
      </c>
      <c r="D780" s="43">
        <f ca="1">WORKDAY(Inputs!$B$3, ROUND(C780, 0),Sheet2!$A$2:$A$21)</f>
        <v>46240</v>
      </c>
    </row>
    <row r="781" spans="1:4" x14ac:dyDescent="0.25">
      <c r="A781" s="42">
        <f t="shared" si="14"/>
        <v>780</v>
      </c>
      <c r="B781" s="42" cm="1">
        <f t="array" aca="1" ref="B781" ca="1">INDEX(Historical!$A$1:$A$18, RANDBETWEEN(1, COUNTA(Historical!$A$1:$A$18)))</f>
        <v>1.5</v>
      </c>
      <c r="C781" s="42">
        <f ca="1">Inputs!$B$2/B781</f>
        <v>149.33333333333334</v>
      </c>
      <c r="D781" s="43">
        <f ca="1">WORKDAY(Inputs!$B$3, ROUND(C781, 0),Sheet2!$A$2:$A$21)</f>
        <v>46237</v>
      </c>
    </row>
    <row r="782" spans="1:4" x14ac:dyDescent="0.25">
      <c r="A782" s="42">
        <f t="shared" si="14"/>
        <v>781</v>
      </c>
      <c r="B782" s="42" cm="1">
        <f t="array" aca="1" ref="B782" ca="1">INDEX(Historical!$A$1:$A$18, RANDBETWEEN(1, COUNTA(Historical!$A$1:$A$18)))</f>
        <v>1.303030303030303</v>
      </c>
      <c r="C782" s="42">
        <f ca="1">Inputs!$B$2/B782</f>
        <v>171.90697674418604</v>
      </c>
      <c r="D782" s="43">
        <f ca="1">WORKDAY(Inputs!$B$3, ROUND(C782, 0),Sheet2!$A$2:$A$21)</f>
        <v>46268</v>
      </c>
    </row>
    <row r="783" spans="1:4" x14ac:dyDescent="0.25">
      <c r="A783" s="42">
        <f t="shared" si="14"/>
        <v>782</v>
      </c>
      <c r="B783" s="42" cm="1">
        <f t="array" aca="1" ref="B783" ca="1">INDEX(Historical!$A$1:$A$18, RANDBETWEEN(1, COUNTA(Historical!$A$1:$A$18)))</f>
        <v>1.368421052631579</v>
      </c>
      <c r="C783" s="42">
        <f ca="1">Inputs!$B$2/B783</f>
        <v>163.69230769230768</v>
      </c>
      <c r="D783" s="43">
        <f ca="1">WORKDAY(Inputs!$B$3, ROUND(C783, 0),Sheet2!$A$2:$A$21)</f>
        <v>46258</v>
      </c>
    </row>
    <row r="784" spans="1:4" x14ac:dyDescent="0.25">
      <c r="A784" s="42">
        <f t="shared" si="14"/>
        <v>783</v>
      </c>
      <c r="B784" s="42" cm="1">
        <f t="array" aca="1" ref="B784" ca="1">INDEX(Historical!$A$1:$A$18, RANDBETWEEN(1, COUNTA(Historical!$A$1:$A$18)))</f>
        <v>1.303030303030303</v>
      </c>
      <c r="C784" s="42">
        <f ca="1">Inputs!$B$2/B784</f>
        <v>171.90697674418604</v>
      </c>
      <c r="D784" s="43">
        <f ca="1">WORKDAY(Inputs!$B$3, ROUND(C784, 0),Sheet2!$A$2:$A$21)</f>
        <v>46268</v>
      </c>
    </row>
    <row r="785" spans="1:4" x14ac:dyDescent="0.25">
      <c r="A785" s="42">
        <f t="shared" si="14"/>
        <v>784</v>
      </c>
      <c r="B785" s="42" cm="1">
        <f t="array" aca="1" ref="B785" ca="1">INDEX(Historical!$A$1:$A$18, RANDBETWEEN(1, COUNTA(Historical!$A$1:$A$18)))</f>
        <v>1.4038461538461537</v>
      </c>
      <c r="C785" s="42">
        <f ca="1">Inputs!$B$2/B785</f>
        <v>159.56164383561645</v>
      </c>
      <c r="D785" s="43">
        <f ca="1">WORKDAY(Inputs!$B$3, ROUND(C785, 0),Sheet2!$A$2:$A$21)</f>
        <v>46252</v>
      </c>
    </row>
    <row r="786" spans="1:4" x14ac:dyDescent="0.25">
      <c r="A786" s="42">
        <f t="shared" si="14"/>
        <v>785</v>
      </c>
      <c r="B786" s="42" cm="1">
        <f t="array" aca="1" ref="B786" ca="1">INDEX(Historical!$A$1:$A$18, RANDBETWEEN(1, COUNTA(Historical!$A$1:$A$18)))</f>
        <v>1.368421052631579</v>
      </c>
      <c r="C786" s="42">
        <f ca="1">Inputs!$B$2/B786</f>
        <v>163.69230769230768</v>
      </c>
      <c r="D786" s="43">
        <f ca="1">WORKDAY(Inputs!$B$3, ROUND(C786, 0),Sheet2!$A$2:$A$21)</f>
        <v>46258</v>
      </c>
    </row>
    <row r="787" spans="1:4" x14ac:dyDescent="0.25">
      <c r="A787" s="42">
        <f t="shared" si="14"/>
        <v>786</v>
      </c>
      <c r="B787" s="42" cm="1">
        <f t="array" aca="1" ref="B787" ca="1">INDEX(Historical!$A$1:$A$18, RANDBETWEEN(1, COUNTA(Historical!$A$1:$A$18)))</f>
        <v>1.3559322033898304</v>
      </c>
      <c r="C787" s="42">
        <f ca="1">Inputs!$B$2/B787</f>
        <v>165.20000000000002</v>
      </c>
      <c r="D787" s="43">
        <f ca="1">WORKDAY(Inputs!$B$3, ROUND(C787, 0),Sheet2!$A$2:$A$21)</f>
        <v>46259</v>
      </c>
    </row>
    <row r="788" spans="1:4" x14ac:dyDescent="0.25">
      <c r="A788" s="42">
        <f t="shared" si="14"/>
        <v>787</v>
      </c>
      <c r="B788" s="42" cm="1">
        <f t="array" aca="1" ref="B788" ca="1">INDEX(Historical!$A$1:$A$18, RANDBETWEEN(1, COUNTA(Historical!$A$1:$A$18)))</f>
        <v>1.3559322033898304</v>
      </c>
      <c r="C788" s="42">
        <f ca="1">Inputs!$B$2/B788</f>
        <v>165.20000000000002</v>
      </c>
      <c r="D788" s="43">
        <f ca="1">WORKDAY(Inputs!$B$3, ROUND(C788, 0),Sheet2!$A$2:$A$21)</f>
        <v>46259</v>
      </c>
    </row>
    <row r="789" spans="1:4" x14ac:dyDescent="0.25">
      <c r="A789" s="42">
        <f t="shared" si="14"/>
        <v>788</v>
      </c>
      <c r="B789" s="42" cm="1">
        <f t="array" aca="1" ref="B789" ca="1">INDEX(Historical!$A$1:$A$18, RANDBETWEEN(1, COUNTA(Historical!$A$1:$A$18)))</f>
        <v>1.290909090909091</v>
      </c>
      <c r="C789" s="42">
        <f ca="1">Inputs!$B$2/B789</f>
        <v>173.52112676056336</v>
      </c>
      <c r="D789" s="43">
        <f ca="1">WORKDAY(Inputs!$B$3, ROUND(C789, 0),Sheet2!$A$2:$A$21)</f>
        <v>46273</v>
      </c>
    </row>
    <row r="790" spans="1:4" x14ac:dyDescent="0.25">
      <c r="A790" s="42">
        <f t="shared" si="14"/>
        <v>789</v>
      </c>
      <c r="B790" s="42" cm="1">
        <f t="array" aca="1" ref="B790" ca="1">INDEX(Historical!$A$1:$A$18, RANDBETWEEN(1, COUNTA(Historical!$A$1:$A$18)))</f>
        <v>1.3617021276595744</v>
      </c>
      <c r="C790" s="42">
        <f ca="1">Inputs!$B$2/B790</f>
        <v>164.5</v>
      </c>
      <c r="D790" s="43">
        <f ca="1">WORKDAY(Inputs!$B$3, ROUND(C790, 0),Sheet2!$A$2:$A$21)</f>
        <v>46259</v>
      </c>
    </row>
    <row r="791" spans="1:4" x14ac:dyDescent="0.25">
      <c r="A791" s="42">
        <f t="shared" si="14"/>
        <v>790</v>
      </c>
      <c r="B791" s="42" cm="1">
        <f t="array" aca="1" ref="B791" ca="1">INDEX(Historical!$A$1:$A$18, RANDBETWEEN(1, COUNTA(Historical!$A$1:$A$18)))</f>
        <v>1.3559322033898304</v>
      </c>
      <c r="C791" s="42">
        <f ca="1">Inputs!$B$2/B791</f>
        <v>165.20000000000002</v>
      </c>
      <c r="D791" s="43">
        <f ca="1">WORKDAY(Inputs!$B$3, ROUND(C791, 0),Sheet2!$A$2:$A$21)</f>
        <v>46259</v>
      </c>
    </row>
    <row r="792" spans="1:4" x14ac:dyDescent="0.25">
      <c r="A792" s="42">
        <f t="shared" si="14"/>
        <v>791</v>
      </c>
      <c r="B792" s="42" cm="1">
        <f t="array" aca="1" ref="B792" ca="1">INDEX(Historical!$A$1:$A$18, RANDBETWEEN(1, COUNTA(Historical!$A$1:$A$18)))</f>
        <v>1.368421052631579</v>
      </c>
      <c r="C792" s="42">
        <f ca="1">Inputs!$B$2/B792</f>
        <v>163.69230769230768</v>
      </c>
      <c r="D792" s="43">
        <f ca="1">WORKDAY(Inputs!$B$3, ROUND(C792, 0),Sheet2!$A$2:$A$21)</f>
        <v>46258</v>
      </c>
    </row>
    <row r="793" spans="1:4" x14ac:dyDescent="0.25">
      <c r="A793" s="42">
        <f t="shared" si="14"/>
        <v>792</v>
      </c>
      <c r="B793" s="42" cm="1">
        <f t="array" aca="1" ref="B793" ca="1">INDEX(Historical!$A$1:$A$18, RANDBETWEEN(1, COUNTA(Historical!$A$1:$A$18)))</f>
        <v>1.3559322033898304</v>
      </c>
      <c r="C793" s="42">
        <f ca="1">Inputs!$B$2/B793</f>
        <v>165.20000000000002</v>
      </c>
      <c r="D793" s="43">
        <f ca="1">WORKDAY(Inputs!$B$3, ROUND(C793, 0),Sheet2!$A$2:$A$21)</f>
        <v>46259</v>
      </c>
    </row>
    <row r="794" spans="1:4" x14ac:dyDescent="0.25">
      <c r="A794" s="42">
        <f t="shared" si="14"/>
        <v>793</v>
      </c>
      <c r="B794" s="42" cm="1">
        <f t="array" aca="1" ref="B794" ca="1">INDEX(Historical!$A$1:$A$18, RANDBETWEEN(1, COUNTA(Historical!$A$1:$A$18)))</f>
        <v>1.1666666666666667</v>
      </c>
      <c r="C794" s="42">
        <f ca="1">Inputs!$B$2/B794</f>
        <v>192</v>
      </c>
      <c r="D794" s="43">
        <f ca="1">WORKDAY(Inputs!$B$3, ROUND(C794, 0),Sheet2!$A$2:$A$21)</f>
        <v>46297</v>
      </c>
    </row>
    <row r="795" spans="1:4" x14ac:dyDescent="0.25">
      <c r="A795" s="42">
        <f t="shared" si="14"/>
        <v>794</v>
      </c>
      <c r="B795" s="42" cm="1">
        <f t="array" aca="1" ref="B795" ca="1">INDEX(Historical!$A$1:$A$18, RANDBETWEEN(1, COUNTA(Historical!$A$1:$A$18)))</f>
        <v>1.4347826086956521</v>
      </c>
      <c r="C795" s="42">
        <f ca="1">Inputs!$B$2/B795</f>
        <v>156.12121212121212</v>
      </c>
      <c r="D795" s="43">
        <f ca="1">WORKDAY(Inputs!$B$3, ROUND(C795, 0),Sheet2!$A$2:$A$21)</f>
        <v>46246</v>
      </c>
    </row>
    <row r="796" spans="1:4" x14ac:dyDescent="0.25">
      <c r="A796" s="42">
        <f t="shared" si="14"/>
        <v>795</v>
      </c>
      <c r="B796" s="42" cm="1">
        <f t="array" aca="1" ref="B796" ca="1">INDEX(Historical!$A$1:$A$18, RANDBETWEEN(1, COUNTA(Historical!$A$1:$A$18)))</f>
        <v>1.303030303030303</v>
      </c>
      <c r="C796" s="42">
        <f ca="1">Inputs!$B$2/B796</f>
        <v>171.90697674418604</v>
      </c>
      <c r="D796" s="43">
        <f ca="1">WORKDAY(Inputs!$B$3, ROUND(C796, 0),Sheet2!$A$2:$A$21)</f>
        <v>46268</v>
      </c>
    </row>
    <row r="797" spans="1:4" x14ac:dyDescent="0.25">
      <c r="A797" s="42">
        <f t="shared" si="14"/>
        <v>796</v>
      </c>
      <c r="B797" s="42" cm="1">
        <f t="array" aca="1" ref="B797" ca="1">INDEX(Historical!$A$1:$A$18, RANDBETWEEN(1, COUNTA(Historical!$A$1:$A$18)))</f>
        <v>1.5</v>
      </c>
      <c r="C797" s="42">
        <f ca="1">Inputs!$B$2/B797</f>
        <v>149.33333333333334</v>
      </c>
      <c r="D797" s="43">
        <f ca="1">WORKDAY(Inputs!$B$3, ROUND(C797, 0),Sheet2!$A$2:$A$21)</f>
        <v>46237</v>
      </c>
    </row>
    <row r="798" spans="1:4" x14ac:dyDescent="0.25">
      <c r="A798" s="42">
        <f t="shared" si="14"/>
        <v>797</v>
      </c>
      <c r="B798" s="42" cm="1">
        <f t="array" aca="1" ref="B798" ca="1">INDEX(Historical!$A$1:$A$18, RANDBETWEEN(1, COUNTA(Historical!$A$1:$A$18)))</f>
        <v>1.375</v>
      </c>
      <c r="C798" s="42">
        <f ca="1">Inputs!$B$2/B798</f>
        <v>162.90909090909091</v>
      </c>
      <c r="D798" s="43">
        <f ca="1">WORKDAY(Inputs!$B$3, ROUND(C798, 0),Sheet2!$A$2:$A$21)</f>
        <v>46255</v>
      </c>
    </row>
    <row r="799" spans="1:4" x14ac:dyDescent="0.25">
      <c r="A799" s="42">
        <f t="shared" si="14"/>
        <v>798</v>
      </c>
      <c r="B799" s="42" cm="1">
        <f t="array" aca="1" ref="B799" ca="1">INDEX(Historical!$A$1:$A$18, RANDBETWEEN(1, COUNTA(Historical!$A$1:$A$18)))</f>
        <v>1.368421052631579</v>
      </c>
      <c r="C799" s="42">
        <f ca="1">Inputs!$B$2/B799</f>
        <v>163.69230769230768</v>
      </c>
      <c r="D799" s="43">
        <f ca="1">WORKDAY(Inputs!$B$3, ROUND(C799, 0),Sheet2!$A$2:$A$21)</f>
        <v>46258</v>
      </c>
    </row>
    <row r="800" spans="1:4" x14ac:dyDescent="0.25">
      <c r="A800" s="42">
        <f t="shared" si="14"/>
        <v>799</v>
      </c>
      <c r="B800" s="42" cm="1">
        <f t="array" aca="1" ref="B800" ca="1">INDEX(Historical!$A$1:$A$18, RANDBETWEEN(1, COUNTA(Historical!$A$1:$A$18)))</f>
        <v>1.3157894736842106</v>
      </c>
      <c r="C800" s="42">
        <f ca="1">Inputs!$B$2/B800</f>
        <v>170.23999999999998</v>
      </c>
      <c r="D800" s="43">
        <f ca="1">WORKDAY(Inputs!$B$3, ROUND(C800, 0),Sheet2!$A$2:$A$21)</f>
        <v>46266</v>
      </c>
    </row>
    <row r="801" spans="1:4" x14ac:dyDescent="0.25">
      <c r="A801" s="42">
        <f t="shared" si="14"/>
        <v>800</v>
      </c>
      <c r="B801" s="42" cm="1">
        <f t="array" aca="1" ref="B801" ca="1">INDEX(Historical!$A$1:$A$18, RANDBETWEEN(1, COUNTA(Historical!$A$1:$A$18)))</f>
        <v>1.4038461538461537</v>
      </c>
      <c r="C801" s="42">
        <f ca="1">Inputs!$B$2/B801</f>
        <v>159.56164383561645</v>
      </c>
      <c r="D801" s="43">
        <f ca="1">WORKDAY(Inputs!$B$3, ROUND(C801, 0),Sheet2!$A$2:$A$21)</f>
        <v>46252</v>
      </c>
    </row>
    <row r="802" spans="1:4" x14ac:dyDescent="0.25">
      <c r="A802" s="42">
        <f t="shared" si="14"/>
        <v>801</v>
      </c>
      <c r="B802" s="42" cm="1">
        <f t="array" aca="1" ref="B802" ca="1">INDEX(Historical!$A$1:$A$18, RANDBETWEEN(1, COUNTA(Historical!$A$1:$A$18)))</f>
        <v>1.375</v>
      </c>
      <c r="C802" s="42">
        <f ca="1">Inputs!$B$2/B802</f>
        <v>162.90909090909091</v>
      </c>
      <c r="D802" s="43">
        <f ca="1">WORKDAY(Inputs!$B$3, ROUND(C802, 0),Sheet2!$A$2:$A$21)</f>
        <v>46255</v>
      </c>
    </row>
    <row r="803" spans="1:4" x14ac:dyDescent="0.25">
      <c r="A803" s="42">
        <f t="shared" si="14"/>
        <v>802</v>
      </c>
      <c r="B803" s="42" cm="1">
        <f t="array" aca="1" ref="B803" ca="1">INDEX(Historical!$A$1:$A$18, RANDBETWEEN(1, COUNTA(Historical!$A$1:$A$18)))</f>
        <v>1.3707865168539326</v>
      </c>
      <c r="C803" s="42">
        <f ca="1">Inputs!$B$2/B803</f>
        <v>163.40983606557376</v>
      </c>
      <c r="D803" s="43">
        <f ca="1">WORKDAY(Inputs!$B$3, ROUND(C803, 0),Sheet2!$A$2:$A$21)</f>
        <v>46255</v>
      </c>
    </row>
    <row r="804" spans="1:4" x14ac:dyDescent="0.25">
      <c r="A804" s="42">
        <f t="shared" si="14"/>
        <v>803</v>
      </c>
      <c r="B804" s="42" cm="1">
        <f t="array" aca="1" ref="B804" ca="1">INDEX(Historical!$A$1:$A$18, RANDBETWEEN(1, COUNTA(Historical!$A$1:$A$18)))</f>
        <v>1.3559322033898304</v>
      </c>
      <c r="C804" s="42">
        <f ca="1">Inputs!$B$2/B804</f>
        <v>165.20000000000002</v>
      </c>
      <c r="D804" s="43">
        <f ca="1">WORKDAY(Inputs!$B$3, ROUND(C804, 0),Sheet2!$A$2:$A$21)</f>
        <v>46259</v>
      </c>
    </row>
    <row r="805" spans="1:4" x14ac:dyDescent="0.25">
      <c r="A805" s="42">
        <f t="shared" si="14"/>
        <v>804</v>
      </c>
      <c r="B805" s="42" cm="1">
        <f t="array" aca="1" ref="B805" ca="1">INDEX(Historical!$A$1:$A$18, RANDBETWEEN(1, COUNTA(Historical!$A$1:$A$18)))</f>
        <v>1.3692307692307693</v>
      </c>
      <c r="C805" s="42">
        <f ca="1">Inputs!$B$2/B805</f>
        <v>163.59550561797752</v>
      </c>
      <c r="D805" s="43">
        <f ca="1">WORKDAY(Inputs!$B$3, ROUND(C805, 0),Sheet2!$A$2:$A$21)</f>
        <v>46258</v>
      </c>
    </row>
    <row r="806" spans="1:4" x14ac:dyDescent="0.25">
      <c r="A806" s="42">
        <f t="shared" si="14"/>
        <v>805</v>
      </c>
      <c r="B806" s="42" cm="1">
        <f t="array" aca="1" ref="B806" ca="1">INDEX(Historical!$A$1:$A$18, RANDBETWEEN(1, COUNTA(Historical!$A$1:$A$18)))</f>
        <v>1.368421052631579</v>
      </c>
      <c r="C806" s="42">
        <f ca="1">Inputs!$B$2/B806</f>
        <v>163.69230769230768</v>
      </c>
      <c r="D806" s="43">
        <f ca="1">WORKDAY(Inputs!$B$3, ROUND(C806, 0),Sheet2!$A$2:$A$21)</f>
        <v>46258</v>
      </c>
    </row>
    <row r="807" spans="1:4" x14ac:dyDescent="0.25">
      <c r="A807" s="42">
        <f t="shared" si="14"/>
        <v>806</v>
      </c>
      <c r="B807" s="42" cm="1">
        <f t="array" aca="1" ref="B807" ca="1">INDEX(Historical!$A$1:$A$18, RANDBETWEEN(1, COUNTA(Historical!$A$1:$A$18)))</f>
        <v>1.290909090909091</v>
      </c>
      <c r="C807" s="42">
        <f ca="1">Inputs!$B$2/B807</f>
        <v>173.52112676056336</v>
      </c>
      <c r="D807" s="43">
        <f ca="1">WORKDAY(Inputs!$B$3, ROUND(C807, 0),Sheet2!$A$2:$A$21)</f>
        <v>46273</v>
      </c>
    </row>
    <row r="808" spans="1:4" x14ac:dyDescent="0.25">
      <c r="A808" s="42">
        <f t="shared" si="14"/>
        <v>807</v>
      </c>
      <c r="B808" s="42" cm="1">
        <f t="array" aca="1" ref="B808" ca="1">INDEX(Historical!$A$1:$A$18, RANDBETWEEN(1, COUNTA(Historical!$A$1:$A$18)))</f>
        <v>1.290909090909091</v>
      </c>
      <c r="C808" s="42">
        <f ca="1">Inputs!$B$2/B808</f>
        <v>173.52112676056336</v>
      </c>
      <c r="D808" s="43">
        <f ca="1">WORKDAY(Inputs!$B$3, ROUND(C808, 0),Sheet2!$A$2:$A$21)</f>
        <v>46273</v>
      </c>
    </row>
    <row r="809" spans="1:4" x14ac:dyDescent="0.25">
      <c r="A809" s="42">
        <f t="shared" si="14"/>
        <v>808</v>
      </c>
      <c r="B809" s="42" cm="1">
        <f t="array" aca="1" ref="B809" ca="1">INDEX(Historical!$A$1:$A$18, RANDBETWEEN(1, COUNTA(Historical!$A$1:$A$18)))</f>
        <v>1.5</v>
      </c>
      <c r="C809" s="42">
        <f ca="1">Inputs!$B$2/B809</f>
        <v>149.33333333333334</v>
      </c>
      <c r="D809" s="43">
        <f ca="1">WORKDAY(Inputs!$B$3, ROUND(C809, 0),Sheet2!$A$2:$A$21)</f>
        <v>46237</v>
      </c>
    </row>
    <row r="810" spans="1:4" x14ac:dyDescent="0.25">
      <c r="A810" s="42">
        <f t="shared" si="14"/>
        <v>809</v>
      </c>
      <c r="B810" s="42" cm="1">
        <f t="array" aca="1" ref="B810" ca="1">INDEX(Historical!$A$1:$A$18, RANDBETWEEN(1, COUNTA(Historical!$A$1:$A$18)))</f>
        <v>1.3214285714285714</v>
      </c>
      <c r="C810" s="42">
        <f ca="1">Inputs!$B$2/B810</f>
        <v>169.51351351351352</v>
      </c>
      <c r="D810" s="43">
        <f ca="1">WORKDAY(Inputs!$B$3, ROUND(C810, 0),Sheet2!$A$2:$A$21)</f>
        <v>46266</v>
      </c>
    </row>
    <row r="811" spans="1:4" x14ac:dyDescent="0.25">
      <c r="A811" s="42">
        <f t="shared" si="14"/>
        <v>810</v>
      </c>
      <c r="B811" s="42" cm="1">
        <f t="array" aca="1" ref="B811" ca="1">INDEX(Historical!$A$1:$A$18, RANDBETWEEN(1, COUNTA(Historical!$A$1:$A$18)))</f>
        <v>1.303030303030303</v>
      </c>
      <c r="C811" s="42">
        <f ca="1">Inputs!$B$2/B811</f>
        <v>171.90697674418604</v>
      </c>
      <c r="D811" s="43">
        <f ca="1">WORKDAY(Inputs!$B$3, ROUND(C811, 0),Sheet2!$A$2:$A$21)</f>
        <v>46268</v>
      </c>
    </row>
    <row r="812" spans="1:4" x14ac:dyDescent="0.25">
      <c r="A812" s="42">
        <f t="shared" si="14"/>
        <v>811</v>
      </c>
      <c r="B812" s="42" cm="1">
        <f t="array" aca="1" ref="B812" ca="1">INDEX(Historical!$A$1:$A$18, RANDBETWEEN(1, COUNTA(Historical!$A$1:$A$18)))</f>
        <v>1.3707865168539326</v>
      </c>
      <c r="C812" s="42">
        <f ca="1">Inputs!$B$2/B812</f>
        <v>163.40983606557376</v>
      </c>
      <c r="D812" s="43">
        <f ca="1">WORKDAY(Inputs!$B$3, ROUND(C812, 0),Sheet2!$A$2:$A$21)</f>
        <v>46255</v>
      </c>
    </row>
    <row r="813" spans="1:4" x14ac:dyDescent="0.25">
      <c r="A813" s="42">
        <f t="shared" si="14"/>
        <v>812</v>
      </c>
      <c r="B813" s="42" cm="1">
        <f t="array" aca="1" ref="B813" ca="1">INDEX(Historical!$A$1:$A$18, RANDBETWEEN(1, COUNTA(Historical!$A$1:$A$18)))</f>
        <v>1.3617021276595744</v>
      </c>
      <c r="C813" s="42">
        <f ca="1">Inputs!$B$2/B813</f>
        <v>164.5</v>
      </c>
      <c r="D813" s="43">
        <f ca="1">WORKDAY(Inputs!$B$3, ROUND(C813, 0),Sheet2!$A$2:$A$21)</f>
        <v>46259</v>
      </c>
    </row>
    <row r="814" spans="1:4" x14ac:dyDescent="0.25">
      <c r="A814" s="42">
        <f t="shared" si="14"/>
        <v>813</v>
      </c>
      <c r="B814" s="42" cm="1">
        <f t="array" aca="1" ref="B814" ca="1">INDEX(Historical!$A$1:$A$18, RANDBETWEEN(1, COUNTA(Historical!$A$1:$A$18)))</f>
        <v>1.290909090909091</v>
      </c>
      <c r="C814" s="42">
        <f ca="1">Inputs!$B$2/B814</f>
        <v>173.52112676056336</v>
      </c>
      <c r="D814" s="43">
        <f ca="1">WORKDAY(Inputs!$B$3, ROUND(C814, 0),Sheet2!$A$2:$A$21)</f>
        <v>46273</v>
      </c>
    </row>
    <row r="815" spans="1:4" x14ac:dyDescent="0.25">
      <c r="A815" s="42">
        <f t="shared" si="14"/>
        <v>814</v>
      </c>
      <c r="B815" s="42" cm="1">
        <f t="array" aca="1" ref="B815" ca="1">INDEX(Historical!$A$1:$A$18, RANDBETWEEN(1, COUNTA(Historical!$A$1:$A$18)))</f>
        <v>1.3214285714285714</v>
      </c>
      <c r="C815" s="42">
        <f ca="1">Inputs!$B$2/B815</f>
        <v>169.51351351351352</v>
      </c>
      <c r="D815" s="43">
        <f ca="1">WORKDAY(Inputs!$B$3, ROUND(C815, 0),Sheet2!$A$2:$A$21)</f>
        <v>46266</v>
      </c>
    </row>
    <row r="816" spans="1:4" x14ac:dyDescent="0.25">
      <c r="A816" s="42">
        <f t="shared" si="14"/>
        <v>815</v>
      </c>
      <c r="B816" s="42" cm="1">
        <f t="array" aca="1" ref="B816" ca="1">INDEX(Historical!$A$1:$A$18, RANDBETWEEN(1, COUNTA(Historical!$A$1:$A$18)))</f>
        <v>1.3559322033898304</v>
      </c>
      <c r="C816" s="42">
        <f ca="1">Inputs!$B$2/B816</f>
        <v>165.20000000000002</v>
      </c>
      <c r="D816" s="43">
        <f ca="1">WORKDAY(Inputs!$B$3, ROUND(C816, 0),Sheet2!$A$2:$A$21)</f>
        <v>46259</v>
      </c>
    </row>
    <row r="817" spans="1:4" x14ac:dyDescent="0.25">
      <c r="A817" s="42">
        <f t="shared" si="14"/>
        <v>816</v>
      </c>
      <c r="B817" s="42" cm="1">
        <f t="array" aca="1" ref="B817" ca="1">INDEX(Historical!$A$1:$A$18, RANDBETWEEN(1, COUNTA(Historical!$A$1:$A$18)))</f>
        <v>1.3157894736842106</v>
      </c>
      <c r="C817" s="42">
        <f ca="1">Inputs!$B$2/B817</f>
        <v>170.23999999999998</v>
      </c>
      <c r="D817" s="43">
        <f ca="1">WORKDAY(Inputs!$B$3, ROUND(C817, 0),Sheet2!$A$2:$A$21)</f>
        <v>46266</v>
      </c>
    </row>
    <row r="818" spans="1:4" x14ac:dyDescent="0.25">
      <c r="A818" s="42">
        <f t="shared" si="14"/>
        <v>817</v>
      </c>
      <c r="B818" s="42" cm="1">
        <f t="array" aca="1" ref="B818" ca="1">INDEX(Historical!$A$1:$A$18, RANDBETWEEN(1, COUNTA(Historical!$A$1:$A$18)))</f>
        <v>1.4347826086956521</v>
      </c>
      <c r="C818" s="42">
        <f ca="1">Inputs!$B$2/B818</f>
        <v>156.12121212121212</v>
      </c>
      <c r="D818" s="43">
        <f ca="1">WORKDAY(Inputs!$B$3, ROUND(C818, 0),Sheet2!$A$2:$A$21)</f>
        <v>46246</v>
      </c>
    </row>
    <row r="819" spans="1:4" x14ac:dyDescent="0.25">
      <c r="A819" s="42">
        <f t="shared" si="14"/>
        <v>818</v>
      </c>
      <c r="B819" s="42" cm="1">
        <f t="array" aca="1" ref="B819" ca="1">INDEX(Historical!$A$1:$A$18, RANDBETWEEN(1, COUNTA(Historical!$A$1:$A$18)))</f>
        <v>1.3559322033898304</v>
      </c>
      <c r="C819" s="42">
        <f ca="1">Inputs!$B$2/B819</f>
        <v>165.20000000000002</v>
      </c>
      <c r="D819" s="43">
        <f ca="1">WORKDAY(Inputs!$B$3, ROUND(C819, 0),Sheet2!$A$2:$A$21)</f>
        <v>46259</v>
      </c>
    </row>
    <row r="820" spans="1:4" x14ac:dyDescent="0.25">
      <c r="A820" s="42">
        <f t="shared" si="14"/>
        <v>819</v>
      </c>
      <c r="B820" s="42" cm="1">
        <f t="array" aca="1" ref="B820" ca="1">INDEX(Historical!$A$1:$A$18, RANDBETWEEN(1, COUNTA(Historical!$A$1:$A$18)))</f>
        <v>1.4347826086956521</v>
      </c>
      <c r="C820" s="42">
        <f ca="1">Inputs!$B$2/B820</f>
        <v>156.12121212121212</v>
      </c>
      <c r="D820" s="43">
        <f ca="1">WORKDAY(Inputs!$B$3, ROUND(C820, 0),Sheet2!$A$2:$A$21)</f>
        <v>46246</v>
      </c>
    </row>
    <row r="821" spans="1:4" x14ac:dyDescent="0.25">
      <c r="A821" s="42">
        <f t="shared" si="14"/>
        <v>820</v>
      </c>
      <c r="B821" s="42" cm="1">
        <f t="array" aca="1" ref="B821" ca="1">INDEX(Historical!$A$1:$A$18, RANDBETWEEN(1, COUNTA(Historical!$A$1:$A$18)))</f>
        <v>1.4038461538461537</v>
      </c>
      <c r="C821" s="42">
        <f ca="1">Inputs!$B$2/B821</f>
        <v>159.56164383561645</v>
      </c>
      <c r="D821" s="43">
        <f ca="1">WORKDAY(Inputs!$B$3, ROUND(C821, 0),Sheet2!$A$2:$A$21)</f>
        <v>46252</v>
      </c>
    </row>
    <row r="822" spans="1:4" x14ac:dyDescent="0.25">
      <c r="A822" s="42">
        <f t="shared" si="14"/>
        <v>821</v>
      </c>
      <c r="B822" s="42" cm="1">
        <f t="array" aca="1" ref="B822" ca="1">INDEX(Historical!$A$1:$A$18, RANDBETWEEN(1, COUNTA(Historical!$A$1:$A$18)))</f>
        <v>1.368421052631579</v>
      </c>
      <c r="C822" s="42">
        <f ca="1">Inputs!$B$2/B822</f>
        <v>163.69230769230768</v>
      </c>
      <c r="D822" s="43">
        <f ca="1">WORKDAY(Inputs!$B$3, ROUND(C822, 0),Sheet2!$A$2:$A$21)</f>
        <v>46258</v>
      </c>
    </row>
    <row r="823" spans="1:4" x14ac:dyDescent="0.25">
      <c r="A823" s="42">
        <f t="shared" si="14"/>
        <v>822</v>
      </c>
      <c r="B823" s="42" cm="1">
        <f t="array" aca="1" ref="B823" ca="1">INDEX(Historical!$A$1:$A$18, RANDBETWEEN(1, COUNTA(Historical!$A$1:$A$18)))</f>
        <v>1.3214285714285714</v>
      </c>
      <c r="C823" s="42">
        <f ca="1">Inputs!$B$2/B823</f>
        <v>169.51351351351352</v>
      </c>
      <c r="D823" s="43">
        <f ca="1">WORKDAY(Inputs!$B$3, ROUND(C823, 0),Sheet2!$A$2:$A$21)</f>
        <v>46266</v>
      </c>
    </row>
    <row r="824" spans="1:4" x14ac:dyDescent="0.25">
      <c r="A824" s="42">
        <f t="shared" si="14"/>
        <v>823</v>
      </c>
      <c r="B824" s="42" cm="1">
        <f t="array" aca="1" ref="B824" ca="1">INDEX(Historical!$A$1:$A$18, RANDBETWEEN(1, COUNTA(Historical!$A$1:$A$18)))</f>
        <v>1.4347826086956521</v>
      </c>
      <c r="C824" s="42">
        <f ca="1">Inputs!$B$2/B824</f>
        <v>156.12121212121212</v>
      </c>
      <c r="D824" s="43">
        <f ca="1">WORKDAY(Inputs!$B$3, ROUND(C824, 0),Sheet2!$A$2:$A$21)</f>
        <v>46246</v>
      </c>
    </row>
    <row r="825" spans="1:4" x14ac:dyDescent="0.25">
      <c r="A825" s="42">
        <f t="shared" si="14"/>
        <v>824</v>
      </c>
      <c r="B825" s="42" cm="1">
        <f t="array" aca="1" ref="B825" ca="1">INDEX(Historical!$A$1:$A$18, RANDBETWEEN(1, COUNTA(Historical!$A$1:$A$18)))</f>
        <v>1.5</v>
      </c>
      <c r="C825" s="42">
        <f ca="1">Inputs!$B$2/B825</f>
        <v>149.33333333333334</v>
      </c>
      <c r="D825" s="43">
        <f ca="1">WORKDAY(Inputs!$B$3, ROUND(C825, 0),Sheet2!$A$2:$A$21)</f>
        <v>46237</v>
      </c>
    </row>
    <row r="826" spans="1:4" x14ac:dyDescent="0.25">
      <c r="A826" s="42">
        <f t="shared" si="14"/>
        <v>825</v>
      </c>
      <c r="B826" s="42" cm="1">
        <f t="array" aca="1" ref="B826" ca="1">INDEX(Historical!$A$1:$A$18, RANDBETWEEN(1, COUNTA(Historical!$A$1:$A$18)))</f>
        <v>1.1666666666666667</v>
      </c>
      <c r="C826" s="42">
        <f ca="1">Inputs!$B$2/B826</f>
        <v>192</v>
      </c>
      <c r="D826" s="43">
        <f ca="1">WORKDAY(Inputs!$B$3, ROUND(C826, 0),Sheet2!$A$2:$A$21)</f>
        <v>46297</v>
      </c>
    </row>
    <row r="827" spans="1:4" x14ac:dyDescent="0.25">
      <c r="A827" s="42">
        <f t="shared" si="14"/>
        <v>826</v>
      </c>
      <c r="B827" s="42" cm="1">
        <f t="array" aca="1" ref="B827" ca="1">INDEX(Historical!$A$1:$A$18, RANDBETWEEN(1, COUNTA(Historical!$A$1:$A$18)))</f>
        <v>1.4761904761904763</v>
      </c>
      <c r="C827" s="42">
        <f ca="1">Inputs!$B$2/B827</f>
        <v>151.74193548387095</v>
      </c>
      <c r="D827" s="43">
        <f ca="1">WORKDAY(Inputs!$B$3, ROUND(C827, 0),Sheet2!$A$2:$A$21)</f>
        <v>46240</v>
      </c>
    </row>
    <row r="828" spans="1:4" x14ac:dyDescent="0.25">
      <c r="A828" s="42">
        <f t="shared" si="14"/>
        <v>827</v>
      </c>
      <c r="B828" s="42" cm="1">
        <f t="array" aca="1" ref="B828" ca="1">INDEX(Historical!$A$1:$A$18, RANDBETWEEN(1, COUNTA(Historical!$A$1:$A$18)))</f>
        <v>1.303030303030303</v>
      </c>
      <c r="C828" s="42">
        <f ca="1">Inputs!$B$2/B828</f>
        <v>171.90697674418604</v>
      </c>
      <c r="D828" s="43">
        <f ca="1">WORKDAY(Inputs!$B$3, ROUND(C828, 0),Sheet2!$A$2:$A$21)</f>
        <v>46268</v>
      </c>
    </row>
    <row r="829" spans="1:4" x14ac:dyDescent="0.25">
      <c r="A829" s="42">
        <f t="shared" si="14"/>
        <v>828</v>
      </c>
      <c r="B829" s="42" cm="1">
        <f t="array" aca="1" ref="B829" ca="1">INDEX(Historical!$A$1:$A$18, RANDBETWEEN(1, COUNTA(Historical!$A$1:$A$18)))</f>
        <v>1.3692307692307693</v>
      </c>
      <c r="C829" s="42">
        <f ca="1">Inputs!$B$2/B829</f>
        <v>163.59550561797752</v>
      </c>
      <c r="D829" s="43">
        <f ca="1">WORKDAY(Inputs!$B$3, ROUND(C829, 0),Sheet2!$A$2:$A$21)</f>
        <v>46258</v>
      </c>
    </row>
    <row r="830" spans="1:4" x14ac:dyDescent="0.25">
      <c r="A830" s="42">
        <f t="shared" si="14"/>
        <v>829</v>
      </c>
      <c r="B830" s="42" cm="1">
        <f t="array" aca="1" ref="B830" ca="1">INDEX(Historical!$A$1:$A$18, RANDBETWEEN(1, COUNTA(Historical!$A$1:$A$18)))</f>
        <v>1.375</v>
      </c>
      <c r="C830" s="42">
        <f ca="1">Inputs!$B$2/B830</f>
        <v>162.90909090909091</v>
      </c>
      <c r="D830" s="43">
        <f ca="1">WORKDAY(Inputs!$B$3, ROUND(C830, 0),Sheet2!$A$2:$A$21)</f>
        <v>46255</v>
      </c>
    </row>
    <row r="831" spans="1:4" x14ac:dyDescent="0.25">
      <c r="A831" s="42">
        <f t="shared" si="14"/>
        <v>830</v>
      </c>
      <c r="B831" s="42" cm="1">
        <f t="array" aca="1" ref="B831" ca="1">INDEX(Historical!$A$1:$A$18, RANDBETWEEN(1, COUNTA(Historical!$A$1:$A$18)))</f>
        <v>1.1666666666666667</v>
      </c>
      <c r="C831" s="42">
        <f ca="1">Inputs!$B$2/B831</f>
        <v>192</v>
      </c>
      <c r="D831" s="43">
        <f ca="1">WORKDAY(Inputs!$B$3, ROUND(C831, 0),Sheet2!$A$2:$A$21)</f>
        <v>46297</v>
      </c>
    </row>
    <row r="832" spans="1:4" x14ac:dyDescent="0.25">
      <c r="A832" s="42">
        <f t="shared" si="14"/>
        <v>831</v>
      </c>
      <c r="B832" s="42" cm="1">
        <f t="array" aca="1" ref="B832" ca="1">INDEX(Historical!$A$1:$A$18, RANDBETWEEN(1, COUNTA(Historical!$A$1:$A$18)))</f>
        <v>1.3707865168539326</v>
      </c>
      <c r="C832" s="42">
        <f ca="1">Inputs!$B$2/B832</f>
        <v>163.40983606557376</v>
      </c>
      <c r="D832" s="43">
        <f ca="1">WORKDAY(Inputs!$B$3, ROUND(C832, 0),Sheet2!$A$2:$A$21)</f>
        <v>46255</v>
      </c>
    </row>
    <row r="833" spans="1:4" x14ac:dyDescent="0.25">
      <c r="A833" s="42">
        <f t="shared" si="14"/>
        <v>832</v>
      </c>
      <c r="B833" s="42" cm="1">
        <f t="array" aca="1" ref="B833" ca="1">INDEX(Historical!$A$1:$A$18, RANDBETWEEN(1, COUNTA(Historical!$A$1:$A$18)))</f>
        <v>1.2941176470588236</v>
      </c>
      <c r="C833" s="42">
        <f ca="1">Inputs!$B$2/B833</f>
        <v>173.09090909090909</v>
      </c>
      <c r="D833" s="43">
        <f ca="1">WORKDAY(Inputs!$B$3, ROUND(C833, 0),Sheet2!$A$2:$A$21)</f>
        <v>46269</v>
      </c>
    </row>
    <row r="834" spans="1:4" x14ac:dyDescent="0.25">
      <c r="A834" s="42">
        <f t="shared" si="14"/>
        <v>833</v>
      </c>
      <c r="B834" s="42" cm="1">
        <f t="array" aca="1" ref="B834" ca="1">INDEX(Historical!$A$1:$A$18, RANDBETWEEN(1, COUNTA(Historical!$A$1:$A$18)))</f>
        <v>1.375</v>
      </c>
      <c r="C834" s="42">
        <f ca="1">Inputs!$B$2/B834</f>
        <v>162.90909090909091</v>
      </c>
      <c r="D834" s="43">
        <f ca="1">WORKDAY(Inputs!$B$3, ROUND(C834, 0),Sheet2!$A$2:$A$21)</f>
        <v>46255</v>
      </c>
    </row>
    <row r="835" spans="1:4" x14ac:dyDescent="0.25">
      <c r="A835" s="42">
        <f t="shared" ref="A835:A898" si="15">ROW()-1</f>
        <v>834</v>
      </c>
      <c r="B835" s="42" cm="1">
        <f t="array" aca="1" ref="B835" ca="1">INDEX(Historical!$A$1:$A$18, RANDBETWEEN(1, COUNTA(Historical!$A$1:$A$18)))</f>
        <v>1.368421052631579</v>
      </c>
      <c r="C835" s="42">
        <f ca="1">Inputs!$B$2/B835</f>
        <v>163.69230769230768</v>
      </c>
      <c r="D835" s="43">
        <f ca="1">WORKDAY(Inputs!$B$3, ROUND(C835, 0),Sheet2!$A$2:$A$21)</f>
        <v>46258</v>
      </c>
    </row>
    <row r="836" spans="1:4" x14ac:dyDescent="0.25">
      <c r="A836" s="42">
        <f t="shared" si="15"/>
        <v>835</v>
      </c>
      <c r="B836" s="42" cm="1">
        <f t="array" aca="1" ref="B836" ca="1">INDEX(Historical!$A$1:$A$18, RANDBETWEEN(1, COUNTA(Historical!$A$1:$A$18)))</f>
        <v>1.5</v>
      </c>
      <c r="C836" s="42">
        <f ca="1">Inputs!$B$2/B836</f>
        <v>149.33333333333334</v>
      </c>
      <c r="D836" s="43">
        <f ca="1">WORKDAY(Inputs!$B$3, ROUND(C836, 0),Sheet2!$A$2:$A$21)</f>
        <v>46237</v>
      </c>
    </row>
    <row r="837" spans="1:4" x14ac:dyDescent="0.25">
      <c r="A837" s="42">
        <f t="shared" si="15"/>
        <v>836</v>
      </c>
      <c r="B837" s="42" cm="1">
        <f t="array" aca="1" ref="B837" ca="1">INDEX(Historical!$A$1:$A$18, RANDBETWEEN(1, COUNTA(Historical!$A$1:$A$18)))</f>
        <v>1.2941176470588236</v>
      </c>
      <c r="C837" s="42">
        <f ca="1">Inputs!$B$2/B837</f>
        <v>173.09090909090909</v>
      </c>
      <c r="D837" s="43">
        <f ca="1">WORKDAY(Inputs!$B$3, ROUND(C837, 0),Sheet2!$A$2:$A$21)</f>
        <v>46269</v>
      </c>
    </row>
    <row r="838" spans="1:4" x14ac:dyDescent="0.25">
      <c r="A838" s="42">
        <f t="shared" si="15"/>
        <v>837</v>
      </c>
      <c r="B838" s="42" cm="1">
        <f t="array" aca="1" ref="B838" ca="1">INDEX(Historical!$A$1:$A$18, RANDBETWEEN(1, COUNTA(Historical!$A$1:$A$18)))</f>
        <v>1.3157894736842106</v>
      </c>
      <c r="C838" s="42">
        <f ca="1">Inputs!$B$2/B838</f>
        <v>170.23999999999998</v>
      </c>
      <c r="D838" s="43">
        <f ca="1">WORKDAY(Inputs!$B$3, ROUND(C838, 0),Sheet2!$A$2:$A$21)</f>
        <v>46266</v>
      </c>
    </row>
    <row r="839" spans="1:4" x14ac:dyDescent="0.25">
      <c r="A839" s="42">
        <f t="shared" si="15"/>
        <v>838</v>
      </c>
      <c r="B839" s="42" cm="1">
        <f t="array" aca="1" ref="B839" ca="1">INDEX(Historical!$A$1:$A$18, RANDBETWEEN(1, COUNTA(Historical!$A$1:$A$18)))</f>
        <v>1.3692307692307693</v>
      </c>
      <c r="C839" s="42">
        <f ca="1">Inputs!$B$2/B839</f>
        <v>163.59550561797752</v>
      </c>
      <c r="D839" s="43">
        <f ca="1">WORKDAY(Inputs!$B$3, ROUND(C839, 0),Sheet2!$A$2:$A$21)</f>
        <v>46258</v>
      </c>
    </row>
    <row r="840" spans="1:4" x14ac:dyDescent="0.25">
      <c r="A840" s="42">
        <f t="shared" si="15"/>
        <v>839</v>
      </c>
      <c r="B840" s="42" cm="1">
        <f t="array" aca="1" ref="B840" ca="1">INDEX(Historical!$A$1:$A$18, RANDBETWEEN(1, COUNTA(Historical!$A$1:$A$18)))</f>
        <v>1.375</v>
      </c>
      <c r="C840" s="42">
        <f ca="1">Inputs!$B$2/B840</f>
        <v>162.90909090909091</v>
      </c>
      <c r="D840" s="43">
        <f ca="1">WORKDAY(Inputs!$B$3, ROUND(C840, 0),Sheet2!$A$2:$A$21)</f>
        <v>46255</v>
      </c>
    </row>
    <row r="841" spans="1:4" x14ac:dyDescent="0.25">
      <c r="A841" s="42">
        <f t="shared" si="15"/>
        <v>840</v>
      </c>
      <c r="B841" s="42" cm="1">
        <f t="array" aca="1" ref="B841" ca="1">INDEX(Historical!$A$1:$A$18, RANDBETWEEN(1, COUNTA(Historical!$A$1:$A$18)))</f>
        <v>1.290909090909091</v>
      </c>
      <c r="C841" s="42">
        <f ca="1">Inputs!$B$2/B841</f>
        <v>173.52112676056336</v>
      </c>
      <c r="D841" s="43">
        <f ca="1">WORKDAY(Inputs!$B$3, ROUND(C841, 0),Sheet2!$A$2:$A$21)</f>
        <v>46273</v>
      </c>
    </row>
    <row r="842" spans="1:4" x14ac:dyDescent="0.25">
      <c r="A842" s="42">
        <f t="shared" si="15"/>
        <v>841</v>
      </c>
      <c r="B842" s="42" cm="1">
        <f t="array" aca="1" ref="B842" ca="1">INDEX(Historical!$A$1:$A$18, RANDBETWEEN(1, COUNTA(Historical!$A$1:$A$18)))</f>
        <v>1.368421052631579</v>
      </c>
      <c r="C842" s="42">
        <f ca="1">Inputs!$B$2/B842</f>
        <v>163.69230769230768</v>
      </c>
      <c r="D842" s="43">
        <f ca="1">WORKDAY(Inputs!$B$3, ROUND(C842, 0),Sheet2!$A$2:$A$21)</f>
        <v>46258</v>
      </c>
    </row>
    <row r="843" spans="1:4" x14ac:dyDescent="0.25">
      <c r="A843" s="42">
        <f t="shared" si="15"/>
        <v>842</v>
      </c>
      <c r="B843" s="42" cm="1">
        <f t="array" aca="1" ref="B843" ca="1">INDEX(Historical!$A$1:$A$18, RANDBETWEEN(1, COUNTA(Historical!$A$1:$A$18)))</f>
        <v>1.4761904761904763</v>
      </c>
      <c r="C843" s="42">
        <f ca="1">Inputs!$B$2/B843</f>
        <v>151.74193548387095</v>
      </c>
      <c r="D843" s="43">
        <f ca="1">WORKDAY(Inputs!$B$3, ROUND(C843, 0),Sheet2!$A$2:$A$21)</f>
        <v>46240</v>
      </c>
    </row>
    <row r="844" spans="1:4" x14ac:dyDescent="0.25">
      <c r="A844" s="42">
        <f t="shared" si="15"/>
        <v>843</v>
      </c>
      <c r="B844" s="42" cm="1">
        <f t="array" aca="1" ref="B844" ca="1">INDEX(Historical!$A$1:$A$18, RANDBETWEEN(1, COUNTA(Historical!$A$1:$A$18)))</f>
        <v>1.4761904761904763</v>
      </c>
      <c r="C844" s="42">
        <f ca="1">Inputs!$B$2/B844</f>
        <v>151.74193548387095</v>
      </c>
      <c r="D844" s="43">
        <f ca="1">WORKDAY(Inputs!$B$3, ROUND(C844, 0),Sheet2!$A$2:$A$21)</f>
        <v>46240</v>
      </c>
    </row>
    <row r="845" spans="1:4" x14ac:dyDescent="0.25">
      <c r="A845" s="42">
        <f t="shared" si="15"/>
        <v>844</v>
      </c>
      <c r="B845" s="42" cm="1">
        <f t="array" aca="1" ref="B845" ca="1">INDEX(Historical!$A$1:$A$18, RANDBETWEEN(1, COUNTA(Historical!$A$1:$A$18)))</f>
        <v>1.375</v>
      </c>
      <c r="C845" s="42">
        <f ca="1">Inputs!$B$2/B845</f>
        <v>162.90909090909091</v>
      </c>
      <c r="D845" s="43">
        <f ca="1">WORKDAY(Inputs!$B$3, ROUND(C845, 0),Sheet2!$A$2:$A$21)</f>
        <v>46255</v>
      </c>
    </row>
    <row r="846" spans="1:4" x14ac:dyDescent="0.25">
      <c r="A846" s="42">
        <f t="shared" si="15"/>
        <v>845</v>
      </c>
      <c r="B846" s="42" cm="1">
        <f t="array" aca="1" ref="B846" ca="1">INDEX(Historical!$A$1:$A$18, RANDBETWEEN(1, COUNTA(Historical!$A$1:$A$18)))</f>
        <v>1.3707865168539326</v>
      </c>
      <c r="C846" s="42">
        <f ca="1">Inputs!$B$2/B846</f>
        <v>163.40983606557376</v>
      </c>
      <c r="D846" s="43">
        <f ca="1">WORKDAY(Inputs!$B$3, ROUND(C846, 0),Sheet2!$A$2:$A$21)</f>
        <v>46255</v>
      </c>
    </row>
    <row r="847" spans="1:4" x14ac:dyDescent="0.25">
      <c r="A847" s="42">
        <f t="shared" si="15"/>
        <v>846</v>
      </c>
      <c r="B847" s="42" cm="1">
        <f t="array" aca="1" ref="B847" ca="1">INDEX(Historical!$A$1:$A$18, RANDBETWEEN(1, COUNTA(Historical!$A$1:$A$18)))</f>
        <v>1.4038461538461537</v>
      </c>
      <c r="C847" s="42">
        <f ca="1">Inputs!$B$2/B847</f>
        <v>159.56164383561645</v>
      </c>
      <c r="D847" s="43">
        <f ca="1">WORKDAY(Inputs!$B$3, ROUND(C847, 0),Sheet2!$A$2:$A$21)</f>
        <v>46252</v>
      </c>
    </row>
    <row r="848" spans="1:4" x14ac:dyDescent="0.25">
      <c r="A848" s="42">
        <f t="shared" si="15"/>
        <v>847</v>
      </c>
      <c r="B848" s="42" cm="1">
        <f t="array" aca="1" ref="B848" ca="1">INDEX(Historical!$A$1:$A$18, RANDBETWEEN(1, COUNTA(Historical!$A$1:$A$18)))</f>
        <v>1.3611111111111112</v>
      </c>
      <c r="C848" s="42">
        <f ca="1">Inputs!$B$2/B848</f>
        <v>164.57142857142856</v>
      </c>
      <c r="D848" s="43">
        <f ca="1">WORKDAY(Inputs!$B$3, ROUND(C848, 0),Sheet2!$A$2:$A$21)</f>
        <v>46259</v>
      </c>
    </row>
    <row r="849" spans="1:4" x14ac:dyDescent="0.25">
      <c r="A849" s="42">
        <f t="shared" si="15"/>
        <v>848</v>
      </c>
      <c r="B849" s="42" cm="1">
        <f t="array" aca="1" ref="B849" ca="1">INDEX(Historical!$A$1:$A$18, RANDBETWEEN(1, COUNTA(Historical!$A$1:$A$18)))</f>
        <v>1.5</v>
      </c>
      <c r="C849" s="42">
        <f ca="1">Inputs!$B$2/B849</f>
        <v>149.33333333333334</v>
      </c>
      <c r="D849" s="43">
        <f ca="1">WORKDAY(Inputs!$B$3, ROUND(C849, 0),Sheet2!$A$2:$A$21)</f>
        <v>46237</v>
      </c>
    </row>
    <row r="850" spans="1:4" x14ac:dyDescent="0.25">
      <c r="A850" s="42">
        <f t="shared" si="15"/>
        <v>849</v>
      </c>
      <c r="B850" s="42" cm="1">
        <f t="array" aca="1" ref="B850" ca="1">INDEX(Historical!$A$1:$A$18, RANDBETWEEN(1, COUNTA(Historical!$A$1:$A$18)))</f>
        <v>1.3707865168539326</v>
      </c>
      <c r="C850" s="42">
        <f ca="1">Inputs!$B$2/B850</f>
        <v>163.40983606557376</v>
      </c>
      <c r="D850" s="43">
        <f ca="1">WORKDAY(Inputs!$B$3, ROUND(C850, 0),Sheet2!$A$2:$A$21)</f>
        <v>46255</v>
      </c>
    </row>
    <row r="851" spans="1:4" x14ac:dyDescent="0.25">
      <c r="A851" s="42">
        <f t="shared" si="15"/>
        <v>850</v>
      </c>
      <c r="B851" s="42" cm="1">
        <f t="array" aca="1" ref="B851" ca="1">INDEX(Historical!$A$1:$A$18, RANDBETWEEN(1, COUNTA(Historical!$A$1:$A$18)))</f>
        <v>1.3692307692307693</v>
      </c>
      <c r="C851" s="42">
        <f ca="1">Inputs!$B$2/B851</f>
        <v>163.59550561797752</v>
      </c>
      <c r="D851" s="43">
        <f ca="1">WORKDAY(Inputs!$B$3, ROUND(C851, 0),Sheet2!$A$2:$A$21)</f>
        <v>46258</v>
      </c>
    </row>
    <row r="852" spans="1:4" x14ac:dyDescent="0.25">
      <c r="A852" s="42">
        <f t="shared" si="15"/>
        <v>851</v>
      </c>
      <c r="B852" s="42" cm="1">
        <f t="array" aca="1" ref="B852" ca="1">INDEX(Historical!$A$1:$A$18, RANDBETWEEN(1, COUNTA(Historical!$A$1:$A$18)))</f>
        <v>1.3611111111111112</v>
      </c>
      <c r="C852" s="42">
        <f ca="1">Inputs!$B$2/B852</f>
        <v>164.57142857142856</v>
      </c>
      <c r="D852" s="43">
        <f ca="1">WORKDAY(Inputs!$B$3, ROUND(C852, 0),Sheet2!$A$2:$A$21)</f>
        <v>46259</v>
      </c>
    </row>
    <row r="853" spans="1:4" x14ac:dyDescent="0.25">
      <c r="A853" s="42">
        <f t="shared" si="15"/>
        <v>852</v>
      </c>
      <c r="B853" s="42" cm="1">
        <f t="array" aca="1" ref="B853" ca="1">INDEX(Historical!$A$1:$A$18, RANDBETWEEN(1, COUNTA(Historical!$A$1:$A$18)))</f>
        <v>1.3214285714285714</v>
      </c>
      <c r="C853" s="42">
        <f ca="1">Inputs!$B$2/B853</f>
        <v>169.51351351351352</v>
      </c>
      <c r="D853" s="43">
        <f ca="1">WORKDAY(Inputs!$B$3, ROUND(C853, 0),Sheet2!$A$2:$A$21)</f>
        <v>46266</v>
      </c>
    </row>
    <row r="854" spans="1:4" x14ac:dyDescent="0.25">
      <c r="A854" s="42">
        <f t="shared" si="15"/>
        <v>853</v>
      </c>
      <c r="B854" s="42" cm="1">
        <f t="array" aca="1" ref="B854" ca="1">INDEX(Historical!$A$1:$A$18, RANDBETWEEN(1, COUNTA(Historical!$A$1:$A$18)))</f>
        <v>1.368421052631579</v>
      </c>
      <c r="C854" s="42">
        <f ca="1">Inputs!$B$2/B854</f>
        <v>163.69230769230768</v>
      </c>
      <c r="D854" s="43">
        <f ca="1">WORKDAY(Inputs!$B$3, ROUND(C854, 0),Sheet2!$A$2:$A$21)</f>
        <v>46258</v>
      </c>
    </row>
    <row r="855" spans="1:4" x14ac:dyDescent="0.25">
      <c r="A855" s="42">
        <f t="shared" si="15"/>
        <v>854</v>
      </c>
      <c r="B855" s="42" cm="1">
        <f t="array" aca="1" ref="B855" ca="1">INDEX(Historical!$A$1:$A$18, RANDBETWEEN(1, COUNTA(Historical!$A$1:$A$18)))</f>
        <v>1.4347826086956521</v>
      </c>
      <c r="C855" s="42">
        <f ca="1">Inputs!$B$2/B855</f>
        <v>156.12121212121212</v>
      </c>
      <c r="D855" s="43">
        <f ca="1">WORKDAY(Inputs!$B$3, ROUND(C855, 0),Sheet2!$A$2:$A$21)</f>
        <v>46246</v>
      </c>
    </row>
    <row r="856" spans="1:4" x14ac:dyDescent="0.25">
      <c r="A856" s="42">
        <f t="shared" si="15"/>
        <v>855</v>
      </c>
      <c r="B856" s="42" cm="1">
        <f t="array" aca="1" ref="B856" ca="1">INDEX(Historical!$A$1:$A$18, RANDBETWEEN(1, COUNTA(Historical!$A$1:$A$18)))</f>
        <v>1.4137931034482758</v>
      </c>
      <c r="C856" s="42">
        <f ca="1">Inputs!$B$2/B856</f>
        <v>158.4390243902439</v>
      </c>
      <c r="D856" s="43">
        <f ca="1">WORKDAY(Inputs!$B$3, ROUND(C856, 0),Sheet2!$A$2:$A$21)</f>
        <v>46248</v>
      </c>
    </row>
    <row r="857" spans="1:4" x14ac:dyDescent="0.25">
      <c r="A857" s="42">
        <f t="shared" si="15"/>
        <v>856</v>
      </c>
      <c r="B857" s="42" cm="1">
        <f t="array" aca="1" ref="B857" ca="1">INDEX(Historical!$A$1:$A$18, RANDBETWEEN(1, COUNTA(Historical!$A$1:$A$18)))</f>
        <v>1.3157894736842106</v>
      </c>
      <c r="C857" s="42">
        <f ca="1">Inputs!$B$2/B857</f>
        <v>170.23999999999998</v>
      </c>
      <c r="D857" s="43">
        <f ca="1">WORKDAY(Inputs!$B$3, ROUND(C857, 0),Sheet2!$A$2:$A$21)</f>
        <v>46266</v>
      </c>
    </row>
    <row r="858" spans="1:4" x14ac:dyDescent="0.25">
      <c r="A858" s="42">
        <f t="shared" si="15"/>
        <v>857</v>
      </c>
      <c r="B858" s="42" cm="1">
        <f t="array" aca="1" ref="B858" ca="1">INDEX(Historical!$A$1:$A$18, RANDBETWEEN(1, COUNTA(Historical!$A$1:$A$18)))</f>
        <v>1.290909090909091</v>
      </c>
      <c r="C858" s="42">
        <f ca="1">Inputs!$B$2/B858</f>
        <v>173.52112676056336</v>
      </c>
      <c r="D858" s="43">
        <f ca="1">WORKDAY(Inputs!$B$3, ROUND(C858, 0),Sheet2!$A$2:$A$21)</f>
        <v>46273</v>
      </c>
    </row>
    <row r="859" spans="1:4" x14ac:dyDescent="0.25">
      <c r="A859" s="42">
        <f t="shared" si="15"/>
        <v>858</v>
      </c>
      <c r="B859" s="42" cm="1">
        <f t="array" aca="1" ref="B859" ca="1">INDEX(Historical!$A$1:$A$18, RANDBETWEEN(1, COUNTA(Historical!$A$1:$A$18)))</f>
        <v>1.303030303030303</v>
      </c>
      <c r="C859" s="42">
        <f ca="1">Inputs!$B$2/B859</f>
        <v>171.90697674418604</v>
      </c>
      <c r="D859" s="43">
        <f ca="1">WORKDAY(Inputs!$B$3, ROUND(C859, 0),Sheet2!$A$2:$A$21)</f>
        <v>46268</v>
      </c>
    </row>
    <row r="860" spans="1:4" x14ac:dyDescent="0.25">
      <c r="A860" s="42">
        <f t="shared" si="15"/>
        <v>859</v>
      </c>
      <c r="B860" s="42" cm="1">
        <f t="array" aca="1" ref="B860" ca="1">INDEX(Historical!$A$1:$A$18, RANDBETWEEN(1, COUNTA(Historical!$A$1:$A$18)))</f>
        <v>1.4761904761904763</v>
      </c>
      <c r="C860" s="42">
        <f ca="1">Inputs!$B$2/B860</f>
        <v>151.74193548387095</v>
      </c>
      <c r="D860" s="43">
        <f ca="1">WORKDAY(Inputs!$B$3, ROUND(C860, 0),Sheet2!$A$2:$A$21)</f>
        <v>46240</v>
      </c>
    </row>
    <row r="861" spans="1:4" x14ac:dyDescent="0.25">
      <c r="A861" s="42">
        <f t="shared" si="15"/>
        <v>860</v>
      </c>
      <c r="B861" s="42" cm="1">
        <f t="array" aca="1" ref="B861" ca="1">INDEX(Historical!$A$1:$A$18, RANDBETWEEN(1, COUNTA(Historical!$A$1:$A$18)))</f>
        <v>1.3611111111111112</v>
      </c>
      <c r="C861" s="42">
        <f ca="1">Inputs!$B$2/B861</f>
        <v>164.57142857142856</v>
      </c>
      <c r="D861" s="43">
        <f ca="1">WORKDAY(Inputs!$B$3, ROUND(C861, 0),Sheet2!$A$2:$A$21)</f>
        <v>46259</v>
      </c>
    </row>
    <row r="862" spans="1:4" x14ac:dyDescent="0.25">
      <c r="A862" s="42">
        <f t="shared" si="15"/>
        <v>861</v>
      </c>
      <c r="B862" s="42" cm="1">
        <f t="array" aca="1" ref="B862" ca="1">INDEX(Historical!$A$1:$A$18, RANDBETWEEN(1, COUNTA(Historical!$A$1:$A$18)))</f>
        <v>1.3559322033898304</v>
      </c>
      <c r="C862" s="42">
        <f ca="1">Inputs!$B$2/B862</f>
        <v>165.20000000000002</v>
      </c>
      <c r="D862" s="43">
        <f ca="1">WORKDAY(Inputs!$B$3, ROUND(C862, 0),Sheet2!$A$2:$A$21)</f>
        <v>46259</v>
      </c>
    </row>
    <row r="863" spans="1:4" x14ac:dyDescent="0.25">
      <c r="A863" s="42">
        <f t="shared" si="15"/>
        <v>862</v>
      </c>
      <c r="B863" s="42" cm="1">
        <f t="array" aca="1" ref="B863" ca="1">INDEX(Historical!$A$1:$A$18, RANDBETWEEN(1, COUNTA(Historical!$A$1:$A$18)))</f>
        <v>1.3214285714285714</v>
      </c>
      <c r="C863" s="42">
        <f ca="1">Inputs!$B$2/B863</f>
        <v>169.51351351351352</v>
      </c>
      <c r="D863" s="43">
        <f ca="1">WORKDAY(Inputs!$B$3, ROUND(C863, 0),Sheet2!$A$2:$A$21)</f>
        <v>46266</v>
      </c>
    </row>
    <row r="864" spans="1:4" x14ac:dyDescent="0.25">
      <c r="A864" s="42">
        <f t="shared" si="15"/>
        <v>863</v>
      </c>
      <c r="B864" s="42" cm="1">
        <f t="array" aca="1" ref="B864" ca="1">INDEX(Historical!$A$1:$A$18, RANDBETWEEN(1, COUNTA(Historical!$A$1:$A$18)))</f>
        <v>1.3611111111111112</v>
      </c>
      <c r="C864" s="42">
        <f ca="1">Inputs!$B$2/B864</f>
        <v>164.57142857142856</v>
      </c>
      <c r="D864" s="43">
        <f ca="1">WORKDAY(Inputs!$B$3, ROUND(C864, 0),Sheet2!$A$2:$A$21)</f>
        <v>46259</v>
      </c>
    </row>
    <row r="865" spans="1:4" x14ac:dyDescent="0.25">
      <c r="A865" s="42">
        <f t="shared" si="15"/>
        <v>864</v>
      </c>
      <c r="B865" s="42" cm="1">
        <f t="array" aca="1" ref="B865" ca="1">INDEX(Historical!$A$1:$A$18, RANDBETWEEN(1, COUNTA(Historical!$A$1:$A$18)))</f>
        <v>1.303030303030303</v>
      </c>
      <c r="C865" s="42">
        <f ca="1">Inputs!$B$2/B865</f>
        <v>171.90697674418604</v>
      </c>
      <c r="D865" s="43">
        <f ca="1">WORKDAY(Inputs!$B$3, ROUND(C865, 0),Sheet2!$A$2:$A$21)</f>
        <v>46268</v>
      </c>
    </row>
    <row r="866" spans="1:4" x14ac:dyDescent="0.25">
      <c r="A866" s="42">
        <f t="shared" si="15"/>
        <v>865</v>
      </c>
      <c r="B866" s="42" cm="1">
        <f t="array" aca="1" ref="B866" ca="1">INDEX(Historical!$A$1:$A$18, RANDBETWEEN(1, COUNTA(Historical!$A$1:$A$18)))</f>
        <v>1.5</v>
      </c>
      <c r="C866" s="42">
        <f ca="1">Inputs!$B$2/B866</f>
        <v>149.33333333333334</v>
      </c>
      <c r="D866" s="43">
        <f ca="1">WORKDAY(Inputs!$B$3, ROUND(C866, 0),Sheet2!$A$2:$A$21)</f>
        <v>46237</v>
      </c>
    </row>
    <row r="867" spans="1:4" x14ac:dyDescent="0.25">
      <c r="A867" s="42">
        <f t="shared" si="15"/>
        <v>866</v>
      </c>
      <c r="B867" s="42" cm="1">
        <f t="array" aca="1" ref="B867" ca="1">INDEX(Historical!$A$1:$A$18, RANDBETWEEN(1, COUNTA(Historical!$A$1:$A$18)))</f>
        <v>1.3157894736842106</v>
      </c>
      <c r="C867" s="42">
        <f ca="1">Inputs!$B$2/B867</f>
        <v>170.23999999999998</v>
      </c>
      <c r="D867" s="43">
        <f ca="1">WORKDAY(Inputs!$B$3, ROUND(C867, 0),Sheet2!$A$2:$A$21)</f>
        <v>46266</v>
      </c>
    </row>
    <row r="868" spans="1:4" x14ac:dyDescent="0.25">
      <c r="A868" s="42">
        <f t="shared" si="15"/>
        <v>867</v>
      </c>
      <c r="B868" s="42" cm="1">
        <f t="array" aca="1" ref="B868" ca="1">INDEX(Historical!$A$1:$A$18, RANDBETWEEN(1, COUNTA(Historical!$A$1:$A$18)))</f>
        <v>1.4137931034482758</v>
      </c>
      <c r="C868" s="42">
        <f ca="1">Inputs!$B$2/B868</f>
        <v>158.4390243902439</v>
      </c>
      <c r="D868" s="43">
        <f ca="1">WORKDAY(Inputs!$B$3, ROUND(C868, 0),Sheet2!$A$2:$A$21)</f>
        <v>46248</v>
      </c>
    </row>
    <row r="869" spans="1:4" x14ac:dyDescent="0.25">
      <c r="A869" s="42">
        <f t="shared" si="15"/>
        <v>868</v>
      </c>
      <c r="B869" s="42" cm="1">
        <f t="array" aca="1" ref="B869" ca="1">INDEX(Historical!$A$1:$A$18, RANDBETWEEN(1, COUNTA(Historical!$A$1:$A$18)))</f>
        <v>1.3214285714285714</v>
      </c>
      <c r="C869" s="42">
        <f ca="1">Inputs!$B$2/B869</f>
        <v>169.51351351351352</v>
      </c>
      <c r="D869" s="43">
        <f ca="1">WORKDAY(Inputs!$B$3, ROUND(C869, 0),Sheet2!$A$2:$A$21)</f>
        <v>46266</v>
      </c>
    </row>
    <row r="870" spans="1:4" x14ac:dyDescent="0.25">
      <c r="A870" s="42">
        <f t="shared" si="15"/>
        <v>869</v>
      </c>
      <c r="B870" s="42" cm="1">
        <f t="array" aca="1" ref="B870" ca="1">INDEX(Historical!$A$1:$A$18, RANDBETWEEN(1, COUNTA(Historical!$A$1:$A$18)))</f>
        <v>1.4761904761904763</v>
      </c>
      <c r="C870" s="42">
        <f ca="1">Inputs!$B$2/B870</f>
        <v>151.74193548387095</v>
      </c>
      <c r="D870" s="43">
        <f ca="1">WORKDAY(Inputs!$B$3, ROUND(C870, 0),Sheet2!$A$2:$A$21)</f>
        <v>46240</v>
      </c>
    </row>
    <row r="871" spans="1:4" x14ac:dyDescent="0.25">
      <c r="A871" s="42">
        <f t="shared" si="15"/>
        <v>870</v>
      </c>
      <c r="B871" s="42" cm="1">
        <f t="array" aca="1" ref="B871" ca="1">INDEX(Historical!$A$1:$A$18, RANDBETWEEN(1, COUNTA(Historical!$A$1:$A$18)))</f>
        <v>1.3692307692307693</v>
      </c>
      <c r="C871" s="42">
        <f ca="1">Inputs!$B$2/B871</f>
        <v>163.59550561797752</v>
      </c>
      <c r="D871" s="43">
        <f ca="1">WORKDAY(Inputs!$B$3, ROUND(C871, 0),Sheet2!$A$2:$A$21)</f>
        <v>46258</v>
      </c>
    </row>
    <row r="872" spans="1:4" x14ac:dyDescent="0.25">
      <c r="A872" s="42">
        <f t="shared" si="15"/>
        <v>871</v>
      </c>
      <c r="B872" s="42" cm="1">
        <f t="array" aca="1" ref="B872" ca="1">INDEX(Historical!$A$1:$A$18, RANDBETWEEN(1, COUNTA(Historical!$A$1:$A$18)))</f>
        <v>1.375</v>
      </c>
      <c r="C872" s="42">
        <f ca="1">Inputs!$B$2/B872</f>
        <v>162.90909090909091</v>
      </c>
      <c r="D872" s="43">
        <f ca="1">WORKDAY(Inputs!$B$3, ROUND(C872, 0),Sheet2!$A$2:$A$21)</f>
        <v>46255</v>
      </c>
    </row>
    <row r="873" spans="1:4" x14ac:dyDescent="0.25">
      <c r="A873" s="42">
        <f t="shared" si="15"/>
        <v>872</v>
      </c>
      <c r="B873" s="42" cm="1">
        <f t="array" aca="1" ref="B873" ca="1">INDEX(Historical!$A$1:$A$18, RANDBETWEEN(1, COUNTA(Historical!$A$1:$A$18)))</f>
        <v>1.3707865168539326</v>
      </c>
      <c r="C873" s="42">
        <f ca="1">Inputs!$B$2/B873</f>
        <v>163.40983606557376</v>
      </c>
      <c r="D873" s="43">
        <f ca="1">WORKDAY(Inputs!$B$3, ROUND(C873, 0),Sheet2!$A$2:$A$21)</f>
        <v>46255</v>
      </c>
    </row>
    <row r="874" spans="1:4" x14ac:dyDescent="0.25">
      <c r="A874" s="42">
        <f t="shared" si="15"/>
        <v>873</v>
      </c>
      <c r="B874" s="42" cm="1">
        <f t="array" aca="1" ref="B874" ca="1">INDEX(Historical!$A$1:$A$18, RANDBETWEEN(1, COUNTA(Historical!$A$1:$A$18)))</f>
        <v>1.3707865168539326</v>
      </c>
      <c r="C874" s="42">
        <f ca="1">Inputs!$B$2/B874</f>
        <v>163.40983606557376</v>
      </c>
      <c r="D874" s="43">
        <f ca="1">WORKDAY(Inputs!$B$3, ROUND(C874, 0),Sheet2!$A$2:$A$21)</f>
        <v>46255</v>
      </c>
    </row>
    <row r="875" spans="1:4" x14ac:dyDescent="0.25">
      <c r="A875" s="42">
        <f t="shared" si="15"/>
        <v>874</v>
      </c>
      <c r="B875" s="42" cm="1">
        <f t="array" aca="1" ref="B875" ca="1">INDEX(Historical!$A$1:$A$18, RANDBETWEEN(1, COUNTA(Historical!$A$1:$A$18)))</f>
        <v>1.3559322033898304</v>
      </c>
      <c r="C875" s="42">
        <f ca="1">Inputs!$B$2/B875</f>
        <v>165.20000000000002</v>
      </c>
      <c r="D875" s="43">
        <f ca="1">WORKDAY(Inputs!$B$3, ROUND(C875, 0),Sheet2!$A$2:$A$21)</f>
        <v>46259</v>
      </c>
    </row>
    <row r="876" spans="1:4" x14ac:dyDescent="0.25">
      <c r="A876" s="42">
        <f t="shared" si="15"/>
        <v>875</v>
      </c>
      <c r="B876" s="42" cm="1">
        <f t="array" aca="1" ref="B876" ca="1">INDEX(Historical!$A$1:$A$18, RANDBETWEEN(1, COUNTA(Historical!$A$1:$A$18)))</f>
        <v>1.3559322033898304</v>
      </c>
      <c r="C876" s="42">
        <f ca="1">Inputs!$B$2/B876</f>
        <v>165.20000000000002</v>
      </c>
      <c r="D876" s="43">
        <f ca="1">WORKDAY(Inputs!$B$3, ROUND(C876, 0),Sheet2!$A$2:$A$21)</f>
        <v>46259</v>
      </c>
    </row>
    <row r="877" spans="1:4" x14ac:dyDescent="0.25">
      <c r="A877" s="42">
        <f t="shared" si="15"/>
        <v>876</v>
      </c>
      <c r="B877" s="42" cm="1">
        <f t="array" aca="1" ref="B877" ca="1">INDEX(Historical!$A$1:$A$18, RANDBETWEEN(1, COUNTA(Historical!$A$1:$A$18)))</f>
        <v>1.3707865168539326</v>
      </c>
      <c r="C877" s="42">
        <f ca="1">Inputs!$B$2/B877</f>
        <v>163.40983606557376</v>
      </c>
      <c r="D877" s="43">
        <f ca="1">WORKDAY(Inputs!$B$3, ROUND(C877, 0),Sheet2!$A$2:$A$21)</f>
        <v>46255</v>
      </c>
    </row>
    <row r="878" spans="1:4" x14ac:dyDescent="0.25">
      <c r="A878" s="42">
        <f t="shared" si="15"/>
        <v>877</v>
      </c>
      <c r="B878" s="42" cm="1">
        <f t="array" aca="1" ref="B878" ca="1">INDEX(Historical!$A$1:$A$18, RANDBETWEEN(1, COUNTA(Historical!$A$1:$A$18)))</f>
        <v>1.375</v>
      </c>
      <c r="C878" s="42">
        <f ca="1">Inputs!$B$2/B878</f>
        <v>162.90909090909091</v>
      </c>
      <c r="D878" s="43">
        <f ca="1">WORKDAY(Inputs!$B$3, ROUND(C878, 0),Sheet2!$A$2:$A$21)</f>
        <v>46255</v>
      </c>
    </row>
    <row r="879" spans="1:4" x14ac:dyDescent="0.25">
      <c r="A879" s="42">
        <f t="shared" si="15"/>
        <v>878</v>
      </c>
      <c r="B879" s="42" cm="1">
        <f t="array" aca="1" ref="B879" ca="1">INDEX(Historical!$A$1:$A$18, RANDBETWEEN(1, COUNTA(Historical!$A$1:$A$18)))</f>
        <v>1.4761904761904763</v>
      </c>
      <c r="C879" s="42">
        <f ca="1">Inputs!$B$2/B879</f>
        <v>151.74193548387095</v>
      </c>
      <c r="D879" s="43">
        <f ca="1">WORKDAY(Inputs!$B$3, ROUND(C879, 0),Sheet2!$A$2:$A$21)</f>
        <v>46240</v>
      </c>
    </row>
    <row r="880" spans="1:4" x14ac:dyDescent="0.25">
      <c r="A880" s="42">
        <f t="shared" si="15"/>
        <v>879</v>
      </c>
      <c r="B880" s="42" cm="1">
        <f t="array" aca="1" ref="B880" ca="1">INDEX(Historical!$A$1:$A$18, RANDBETWEEN(1, COUNTA(Historical!$A$1:$A$18)))</f>
        <v>1.1666666666666667</v>
      </c>
      <c r="C880" s="42">
        <f ca="1">Inputs!$B$2/B880</f>
        <v>192</v>
      </c>
      <c r="D880" s="43">
        <f ca="1">WORKDAY(Inputs!$B$3, ROUND(C880, 0),Sheet2!$A$2:$A$21)</f>
        <v>46297</v>
      </c>
    </row>
    <row r="881" spans="1:4" x14ac:dyDescent="0.25">
      <c r="A881" s="42">
        <f t="shared" si="15"/>
        <v>880</v>
      </c>
      <c r="B881" s="42" cm="1">
        <f t="array" aca="1" ref="B881" ca="1">INDEX(Historical!$A$1:$A$18, RANDBETWEEN(1, COUNTA(Historical!$A$1:$A$18)))</f>
        <v>1.2941176470588236</v>
      </c>
      <c r="C881" s="42">
        <f ca="1">Inputs!$B$2/B881</f>
        <v>173.09090909090909</v>
      </c>
      <c r="D881" s="43">
        <f ca="1">WORKDAY(Inputs!$B$3, ROUND(C881, 0),Sheet2!$A$2:$A$21)</f>
        <v>46269</v>
      </c>
    </row>
    <row r="882" spans="1:4" x14ac:dyDescent="0.25">
      <c r="A882" s="42">
        <f t="shared" si="15"/>
        <v>881</v>
      </c>
      <c r="B882" s="42" cm="1">
        <f t="array" aca="1" ref="B882" ca="1">INDEX(Historical!$A$1:$A$18, RANDBETWEEN(1, COUNTA(Historical!$A$1:$A$18)))</f>
        <v>1.3611111111111112</v>
      </c>
      <c r="C882" s="42">
        <f ca="1">Inputs!$B$2/B882</f>
        <v>164.57142857142856</v>
      </c>
      <c r="D882" s="43">
        <f ca="1">WORKDAY(Inputs!$B$3, ROUND(C882, 0),Sheet2!$A$2:$A$21)</f>
        <v>46259</v>
      </c>
    </row>
    <row r="883" spans="1:4" x14ac:dyDescent="0.25">
      <c r="A883" s="42">
        <f t="shared" si="15"/>
        <v>882</v>
      </c>
      <c r="B883" s="42" cm="1">
        <f t="array" aca="1" ref="B883" ca="1">INDEX(Historical!$A$1:$A$18, RANDBETWEEN(1, COUNTA(Historical!$A$1:$A$18)))</f>
        <v>1.4137931034482758</v>
      </c>
      <c r="C883" s="42">
        <f ca="1">Inputs!$B$2/B883</f>
        <v>158.4390243902439</v>
      </c>
      <c r="D883" s="43">
        <f ca="1">WORKDAY(Inputs!$B$3, ROUND(C883, 0),Sheet2!$A$2:$A$21)</f>
        <v>46248</v>
      </c>
    </row>
    <row r="884" spans="1:4" x14ac:dyDescent="0.25">
      <c r="A884" s="42">
        <f t="shared" si="15"/>
        <v>883</v>
      </c>
      <c r="B884" s="42" cm="1">
        <f t="array" aca="1" ref="B884" ca="1">INDEX(Historical!$A$1:$A$18, RANDBETWEEN(1, COUNTA(Historical!$A$1:$A$18)))</f>
        <v>1.368421052631579</v>
      </c>
      <c r="C884" s="42">
        <f ca="1">Inputs!$B$2/B884</f>
        <v>163.69230769230768</v>
      </c>
      <c r="D884" s="43">
        <f ca="1">WORKDAY(Inputs!$B$3, ROUND(C884, 0),Sheet2!$A$2:$A$21)</f>
        <v>46258</v>
      </c>
    </row>
    <row r="885" spans="1:4" x14ac:dyDescent="0.25">
      <c r="A885" s="42">
        <f t="shared" si="15"/>
        <v>884</v>
      </c>
      <c r="B885" s="42" cm="1">
        <f t="array" aca="1" ref="B885" ca="1">INDEX(Historical!$A$1:$A$18, RANDBETWEEN(1, COUNTA(Historical!$A$1:$A$18)))</f>
        <v>1.3707865168539326</v>
      </c>
      <c r="C885" s="42">
        <f ca="1">Inputs!$B$2/B885</f>
        <v>163.40983606557376</v>
      </c>
      <c r="D885" s="43">
        <f ca="1">WORKDAY(Inputs!$B$3, ROUND(C885, 0),Sheet2!$A$2:$A$21)</f>
        <v>46255</v>
      </c>
    </row>
    <row r="886" spans="1:4" x14ac:dyDescent="0.25">
      <c r="A886" s="42">
        <f t="shared" si="15"/>
        <v>885</v>
      </c>
      <c r="B886" s="42" cm="1">
        <f t="array" aca="1" ref="B886" ca="1">INDEX(Historical!$A$1:$A$18, RANDBETWEEN(1, COUNTA(Historical!$A$1:$A$18)))</f>
        <v>1.4137931034482758</v>
      </c>
      <c r="C886" s="42">
        <f ca="1">Inputs!$B$2/B886</f>
        <v>158.4390243902439</v>
      </c>
      <c r="D886" s="43">
        <f ca="1">WORKDAY(Inputs!$B$3, ROUND(C886, 0),Sheet2!$A$2:$A$21)</f>
        <v>46248</v>
      </c>
    </row>
    <row r="887" spans="1:4" x14ac:dyDescent="0.25">
      <c r="A887" s="42">
        <f t="shared" si="15"/>
        <v>886</v>
      </c>
      <c r="B887" s="42" cm="1">
        <f t="array" aca="1" ref="B887" ca="1">INDEX(Historical!$A$1:$A$18, RANDBETWEEN(1, COUNTA(Historical!$A$1:$A$18)))</f>
        <v>1.368421052631579</v>
      </c>
      <c r="C887" s="42">
        <f ca="1">Inputs!$B$2/B887</f>
        <v>163.69230769230768</v>
      </c>
      <c r="D887" s="43">
        <f ca="1">WORKDAY(Inputs!$B$3, ROUND(C887, 0),Sheet2!$A$2:$A$21)</f>
        <v>46258</v>
      </c>
    </row>
    <row r="888" spans="1:4" x14ac:dyDescent="0.25">
      <c r="A888" s="42">
        <f t="shared" si="15"/>
        <v>887</v>
      </c>
      <c r="B888" s="42" cm="1">
        <f t="array" aca="1" ref="B888" ca="1">INDEX(Historical!$A$1:$A$18, RANDBETWEEN(1, COUNTA(Historical!$A$1:$A$18)))</f>
        <v>1.290909090909091</v>
      </c>
      <c r="C888" s="42">
        <f ca="1">Inputs!$B$2/B888</f>
        <v>173.52112676056336</v>
      </c>
      <c r="D888" s="43">
        <f ca="1">WORKDAY(Inputs!$B$3, ROUND(C888, 0),Sheet2!$A$2:$A$21)</f>
        <v>46273</v>
      </c>
    </row>
    <row r="889" spans="1:4" x14ac:dyDescent="0.25">
      <c r="A889" s="42">
        <f t="shared" si="15"/>
        <v>888</v>
      </c>
      <c r="B889" s="42" cm="1">
        <f t="array" aca="1" ref="B889" ca="1">INDEX(Historical!$A$1:$A$18, RANDBETWEEN(1, COUNTA(Historical!$A$1:$A$18)))</f>
        <v>1.2941176470588236</v>
      </c>
      <c r="C889" s="42">
        <f ca="1">Inputs!$B$2/B889</f>
        <v>173.09090909090909</v>
      </c>
      <c r="D889" s="43">
        <f ca="1">WORKDAY(Inputs!$B$3, ROUND(C889, 0),Sheet2!$A$2:$A$21)</f>
        <v>46269</v>
      </c>
    </row>
    <row r="890" spans="1:4" x14ac:dyDescent="0.25">
      <c r="A890" s="42">
        <f t="shared" si="15"/>
        <v>889</v>
      </c>
      <c r="B890" s="42" cm="1">
        <f t="array" aca="1" ref="B890" ca="1">INDEX(Historical!$A$1:$A$18, RANDBETWEEN(1, COUNTA(Historical!$A$1:$A$18)))</f>
        <v>1.3617021276595744</v>
      </c>
      <c r="C890" s="42">
        <f ca="1">Inputs!$B$2/B890</f>
        <v>164.5</v>
      </c>
      <c r="D890" s="43">
        <f ca="1">WORKDAY(Inputs!$B$3, ROUND(C890, 0),Sheet2!$A$2:$A$21)</f>
        <v>46259</v>
      </c>
    </row>
    <row r="891" spans="1:4" x14ac:dyDescent="0.25">
      <c r="A891" s="42">
        <f t="shared" si="15"/>
        <v>890</v>
      </c>
      <c r="B891" s="42" cm="1">
        <f t="array" aca="1" ref="B891" ca="1">INDEX(Historical!$A$1:$A$18, RANDBETWEEN(1, COUNTA(Historical!$A$1:$A$18)))</f>
        <v>1.303030303030303</v>
      </c>
      <c r="C891" s="42">
        <f ca="1">Inputs!$B$2/B891</f>
        <v>171.90697674418604</v>
      </c>
      <c r="D891" s="43">
        <f ca="1">WORKDAY(Inputs!$B$3, ROUND(C891, 0),Sheet2!$A$2:$A$21)</f>
        <v>46268</v>
      </c>
    </row>
    <row r="892" spans="1:4" x14ac:dyDescent="0.25">
      <c r="A892" s="42">
        <f t="shared" si="15"/>
        <v>891</v>
      </c>
      <c r="B892" s="42" cm="1">
        <f t="array" aca="1" ref="B892" ca="1">INDEX(Historical!$A$1:$A$18, RANDBETWEEN(1, COUNTA(Historical!$A$1:$A$18)))</f>
        <v>1.4347826086956521</v>
      </c>
      <c r="C892" s="42">
        <f ca="1">Inputs!$B$2/B892</f>
        <v>156.12121212121212</v>
      </c>
      <c r="D892" s="43">
        <f ca="1">WORKDAY(Inputs!$B$3, ROUND(C892, 0),Sheet2!$A$2:$A$21)</f>
        <v>46246</v>
      </c>
    </row>
    <row r="893" spans="1:4" x14ac:dyDescent="0.25">
      <c r="A893" s="42">
        <f t="shared" si="15"/>
        <v>892</v>
      </c>
      <c r="B893" s="42" cm="1">
        <f t="array" aca="1" ref="B893" ca="1">INDEX(Historical!$A$1:$A$18, RANDBETWEEN(1, COUNTA(Historical!$A$1:$A$18)))</f>
        <v>1.3617021276595744</v>
      </c>
      <c r="C893" s="42">
        <f ca="1">Inputs!$B$2/B893</f>
        <v>164.5</v>
      </c>
      <c r="D893" s="43">
        <f ca="1">WORKDAY(Inputs!$B$3, ROUND(C893, 0),Sheet2!$A$2:$A$21)</f>
        <v>46259</v>
      </c>
    </row>
    <row r="894" spans="1:4" x14ac:dyDescent="0.25">
      <c r="A894" s="42">
        <f t="shared" si="15"/>
        <v>893</v>
      </c>
      <c r="B894" s="42" cm="1">
        <f t="array" aca="1" ref="B894" ca="1">INDEX(Historical!$A$1:$A$18, RANDBETWEEN(1, COUNTA(Historical!$A$1:$A$18)))</f>
        <v>1.290909090909091</v>
      </c>
      <c r="C894" s="42">
        <f ca="1">Inputs!$B$2/B894</f>
        <v>173.52112676056336</v>
      </c>
      <c r="D894" s="43">
        <f ca="1">WORKDAY(Inputs!$B$3, ROUND(C894, 0),Sheet2!$A$2:$A$21)</f>
        <v>46273</v>
      </c>
    </row>
    <row r="895" spans="1:4" x14ac:dyDescent="0.25">
      <c r="A895" s="42">
        <f t="shared" si="15"/>
        <v>894</v>
      </c>
      <c r="B895" s="42" cm="1">
        <f t="array" aca="1" ref="B895" ca="1">INDEX(Historical!$A$1:$A$18, RANDBETWEEN(1, COUNTA(Historical!$A$1:$A$18)))</f>
        <v>1.290909090909091</v>
      </c>
      <c r="C895" s="42">
        <f ca="1">Inputs!$B$2/B895</f>
        <v>173.52112676056336</v>
      </c>
      <c r="D895" s="43">
        <f ca="1">WORKDAY(Inputs!$B$3, ROUND(C895, 0),Sheet2!$A$2:$A$21)</f>
        <v>46273</v>
      </c>
    </row>
    <row r="896" spans="1:4" x14ac:dyDescent="0.25">
      <c r="A896" s="42">
        <f t="shared" si="15"/>
        <v>895</v>
      </c>
      <c r="B896" s="42" cm="1">
        <f t="array" aca="1" ref="B896" ca="1">INDEX(Historical!$A$1:$A$18, RANDBETWEEN(1, COUNTA(Historical!$A$1:$A$18)))</f>
        <v>1.4347826086956521</v>
      </c>
      <c r="C896" s="42">
        <f ca="1">Inputs!$B$2/B896</f>
        <v>156.12121212121212</v>
      </c>
      <c r="D896" s="43">
        <f ca="1">WORKDAY(Inputs!$B$3, ROUND(C896, 0),Sheet2!$A$2:$A$21)</f>
        <v>46246</v>
      </c>
    </row>
    <row r="897" spans="1:4" x14ac:dyDescent="0.25">
      <c r="A897" s="42">
        <f t="shared" si="15"/>
        <v>896</v>
      </c>
      <c r="B897" s="42" cm="1">
        <f t="array" aca="1" ref="B897" ca="1">INDEX(Historical!$A$1:$A$18, RANDBETWEEN(1, COUNTA(Historical!$A$1:$A$18)))</f>
        <v>1.3157894736842106</v>
      </c>
      <c r="C897" s="42">
        <f ca="1">Inputs!$B$2/B897</f>
        <v>170.23999999999998</v>
      </c>
      <c r="D897" s="43">
        <f ca="1">WORKDAY(Inputs!$B$3, ROUND(C897, 0),Sheet2!$A$2:$A$21)</f>
        <v>46266</v>
      </c>
    </row>
    <row r="898" spans="1:4" x14ac:dyDescent="0.25">
      <c r="A898" s="42">
        <f t="shared" si="15"/>
        <v>897</v>
      </c>
      <c r="B898" s="42" cm="1">
        <f t="array" aca="1" ref="B898" ca="1">INDEX(Historical!$A$1:$A$18, RANDBETWEEN(1, COUNTA(Historical!$A$1:$A$18)))</f>
        <v>1.290909090909091</v>
      </c>
      <c r="C898" s="42">
        <f ca="1">Inputs!$B$2/B898</f>
        <v>173.52112676056336</v>
      </c>
      <c r="D898" s="43">
        <f ca="1">WORKDAY(Inputs!$B$3, ROUND(C898, 0),Sheet2!$A$2:$A$21)</f>
        <v>46273</v>
      </c>
    </row>
    <row r="899" spans="1:4" x14ac:dyDescent="0.25">
      <c r="A899" s="42">
        <f t="shared" ref="A899:A962" si="16">ROW()-1</f>
        <v>898</v>
      </c>
      <c r="B899" s="42" cm="1">
        <f t="array" aca="1" ref="B899" ca="1">INDEX(Historical!$A$1:$A$18, RANDBETWEEN(1, COUNTA(Historical!$A$1:$A$18)))</f>
        <v>1.290909090909091</v>
      </c>
      <c r="C899" s="42">
        <f ca="1">Inputs!$B$2/B899</f>
        <v>173.52112676056336</v>
      </c>
      <c r="D899" s="43">
        <f ca="1">WORKDAY(Inputs!$B$3, ROUND(C899, 0),Sheet2!$A$2:$A$21)</f>
        <v>46273</v>
      </c>
    </row>
    <row r="900" spans="1:4" x14ac:dyDescent="0.25">
      <c r="A900" s="42">
        <f t="shared" si="16"/>
        <v>899</v>
      </c>
      <c r="B900" s="42" cm="1">
        <f t="array" aca="1" ref="B900" ca="1">INDEX(Historical!$A$1:$A$18, RANDBETWEEN(1, COUNTA(Historical!$A$1:$A$18)))</f>
        <v>1.4761904761904763</v>
      </c>
      <c r="C900" s="42">
        <f ca="1">Inputs!$B$2/B900</f>
        <v>151.74193548387095</v>
      </c>
      <c r="D900" s="43">
        <f ca="1">WORKDAY(Inputs!$B$3, ROUND(C900, 0),Sheet2!$A$2:$A$21)</f>
        <v>46240</v>
      </c>
    </row>
    <row r="901" spans="1:4" x14ac:dyDescent="0.25">
      <c r="A901" s="42">
        <f t="shared" si="16"/>
        <v>900</v>
      </c>
      <c r="B901" s="42" cm="1">
        <f t="array" aca="1" ref="B901" ca="1">INDEX(Historical!$A$1:$A$18, RANDBETWEEN(1, COUNTA(Historical!$A$1:$A$18)))</f>
        <v>1.290909090909091</v>
      </c>
      <c r="C901" s="42">
        <f ca="1">Inputs!$B$2/B901</f>
        <v>173.52112676056336</v>
      </c>
      <c r="D901" s="43">
        <f ca="1">WORKDAY(Inputs!$B$3, ROUND(C901, 0),Sheet2!$A$2:$A$21)</f>
        <v>46273</v>
      </c>
    </row>
    <row r="902" spans="1:4" x14ac:dyDescent="0.25">
      <c r="A902" s="42">
        <f t="shared" si="16"/>
        <v>901</v>
      </c>
      <c r="B902" s="42" cm="1">
        <f t="array" aca="1" ref="B902" ca="1">INDEX(Historical!$A$1:$A$18, RANDBETWEEN(1, COUNTA(Historical!$A$1:$A$18)))</f>
        <v>1.3559322033898304</v>
      </c>
      <c r="C902" s="42">
        <f ca="1">Inputs!$B$2/B902</f>
        <v>165.20000000000002</v>
      </c>
      <c r="D902" s="43">
        <f ca="1">WORKDAY(Inputs!$B$3, ROUND(C902, 0),Sheet2!$A$2:$A$21)</f>
        <v>46259</v>
      </c>
    </row>
    <row r="903" spans="1:4" x14ac:dyDescent="0.25">
      <c r="A903" s="42">
        <f t="shared" si="16"/>
        <v>902</v>
      </c>
      <c r="B903" s="42" cm="1">
        <f t="array" aca="1" ref="B903" ca="1">INDEX(Historical!$A$1:$A$18, RANDBETWEEN(1, COUNTA(Historical!$A$1:$A$18)))</f>
        <v>1.5</v>
      </c>
      <c r="C903" s="42">
        <f ca="1">Inputs!$B$2/B903</f>
        <v>149.33333333333334</v>
      </c>
      <c r="D903" s="43">
        <f ca="1">WORKDAY(Inputs!$B$3, ROUND(C903, 0),Sheet2!$A$2:$A$21)</f>
        <v>46237</v>
      </c>
    </row>
    <row r="904" spans="1:4" x14ac:dyDescent="0.25">
      <c r="A904" s="42">
        <f t="shared" si="16"/>
        <v>903</v>
      </c>
      <c r="B904" s="42" cm="1">
        <f t="array" aca="1" ref="B904" ca="1">INDEX(Historical!$A$1:$A$18, RANDBETWEEN(1, COUNTA(Historical!$A$1:$A$18)))</f>
        <v>1.303030303030303</v>
      </c>
      <c r="C904" s="42">
        <f ca="1">Inputs!$B$2/B904</f>
        <v>171.90697674418604</v>
      </c>
      <c r="D904" s="43">
        <f ca="1">WORKDAY(Inputs!$B$3, ROUND(C904, 0),Sheet2!$A$2:$A$21)</f>
        <v>46268</v>
      </c>
    </row>
    <row r="905" spans="1:4" x14ac:dyDescent="0.25">
      <c r="A905" s="42">
        <f t="shared" si="16"/>
        <v>904</v>
      </c>
      <c r="B905" s="42" cm="1">
        <f t="array" aca="1" ref="B905" ca="1">INDEX(Historical!$A$1:$A$18, RANDBETWEEN(1, COUNTA(Historical!$A$1:$A$18)))</f>
        <v>1.3559322033898304</v>
      </c>
      <c r="C905" s="42">
        <f ca="1">Inputs!$B$2/B905</f>
        <v>165.20000000000002</v>
      </c>
      <c r="D905" s="43">
        <f ca="1">WORKDAY(Inputs!$B$3, ROUND(C905, 0),Sheet2!$A$2:$A$21)</f>
        <v>46259</v>
      </c>
    </row>
    <row r="906" spans="1:4" x14ac:dyDescent="0.25">
      <c r="A906" s="42">
        <f t="shared" si="16"/>
        <v>905</v>
      </c>
      <c r="B906" s="42" cm="1">
        <f t="array" aca="1" ref="B906" ca="1">INDEX(Historical!$A$1:$A$18, RANDBETWEEN(1, COUNTA(Historical!$A$1:$A$18)))</f>
        <v>1.290909090909091</v>
      </c>
      <c r="C906" s="42">
        <f ca="1">Inputs!$B$2/B906</f>
        <v>173.52112676056336</v>
      </c>
      <c r="D906" s="43">
        <f ca="1">WORKDAY(Inputs!$B$3, ROUND(C906, 0),Sheet2!$A$2:$A$21)</f>
        <v>46273</v>
      </c>
    </row>
    <row r="907" spans="1:4" x14ac:dyDescent="0.25">
      <c r="A907" s="42">
        <f t="shared" si="16"/>
        <v>906</v>
      </c>
      <c r="B907" s="42" cm="1">
        <f t="array" aca="1" ref="B907" ca="1">INDEX(Historical!$A$1:$A$18, RANDBETWEEN(1, COUNTA(Historical!$A$1:$A$18)))</f>
        <v>1.375</v>
      </c>
      <c r="C907" s="42">
        <f ca="1">Inputs!$B$2/B907</f>
        <v>162.90909090909091</v>
      </c>
      <c r="D907" s="43">
        <f ca="1">WORKDAY(Inputs!$B$3, ROUND(C907, 0),Sheet2!$A$2:$A$21)</f>
        <v>46255</v>
      </c>
    </row>
    <row r="908" spans="1:4" x14ac:dyDescent="0.25">
      <c r="A908" s="42">
        <f t="shared" si="16"/>
        <v>907</v>
      </c>
      <c r="B908" s="42" cm="1">
        <f t="array" aca="1" ref="B908" ca="1">INDEX(Historical!$A$1:$A$18, RANDBETWEEN(1, COUNTA(Historical!$A$1:$A$18)))</f>
        <v>1.3707865168539326</v>
      </c>
      <c r="C908" s="42">
        <f ca="1">Inputs!$B$2/B908</f>
        <v>163.40983606557376</v>
      </c>
      <c r="D908" s="43">
        <f ca="1">WORKDAY(Inputs!$B$3, ROUND(C908, 0),Sheet2!$A$2:$A$21)</f>
        <v>46255</v>
      </c>
    </row>
    <row r="909" spans="1:4" x14ac:dyDescent="0.25">
      <c r="A909" s="42">
        <f t="shared" si="16"/>
        <v>908</v>
      </c>
      <c r="B909" s="42" cm="1">
        <f t="array" aca="1" ref="B909" ca="1">INDEX(Historical!$A$1:$A$18, RANDBETWEEN(1, COUNTA(Historical!$A$1:$A$18)))</f>
        <v>1.3617021276595744</v>
      </c>
      <c r="C909" s="42">
        <f ca="1">Inputs!$B$2/B909</f>
        <v>164.5</v>
      </c>
      <c r="D909" s="43">
        <f ca="1">WORKDAY(Inputs!$B$3, ROUND(C909, 0),Sheet2!$A$2:$A$21)</f>
        <v>46259</v>
      </c>
    </row>
    <row r="910" spans="1:4" x14ac:dyDescent="0.25">
      <c r="A910" s="42">
        <f t="shared" si="16"/>
        <v>909</v>
      </c>
      <c r="B910" s="42" cm="1">
        <f t="array" aca="1" ref="B910" ca="1">INDEX(Historical!$A$1:$A$18, RANDBETWEEN(1, COUNTA(Historical!$A$1:$A$18)))</f>
        <v>1.3157894736842106</v>
      </c>
      <c r="C910" s="42">
        <f ca="1">Inputs!$B$2/B910</f>
        <v>170.23999999999998</v>
      </c>
      <c r="D910" s="43">
        <f ca="1">WORKDAY(Inputs!$B$3, ROUND(C910, 0),Sheet2!$A$2:$A$21)</f>
        <v>46266</v>
      </c>
    </row>
    <row r="911" spans="1:4" x14ac:dyDescent="0.25">
      <c r="A911" s="42">
        <f t="shared" si="16"/>
        <v>910</v>
      </c>
      <c r="B911" s="42" cm="1">
        <f t="array" aca="1" ref="B911" ca="1">INDEX(Historical!$A$1:$A$18, RANDBETWEEN(1, COUNTA(Historical!$A$1:$A$18)))</f>
        <v>1.3617021276595744</v>
      </c>
      <c r="C911" s="42">
        <f ca="1">Inputs!$B$2/B911</f>
        <v>164.5</v>
      </c>
      <c r="D911" s="43">
        <f ca="1">WORKDAY(Inputs!$B$3, ROUND(C911, 0),Sheet2!$A$2:$A$21)</f>
        <v>46259</v>
      </c>
    </row>
    <row r="912" spans="1:4" x14ac:dyDescent="0.25">
      <c r="A912" s="42">
        <f t="shared" si="16"/>
        <v>911</v>
      </c>
      <c r="B912" s="42" cm="1">
        <f t="array" aca="1" ref="B912" ca="1">INDEX(Historical!$A$1:$A$18, RANDBETWEEN(1, COUNTA(Historical!$A$1:$A$18)))</f>
        <v>1.290909090909091</v>
      </c>
      <c r="C912" s="42">
        <f ca="1">Inputs!$B$2/B912</f>
        <v>173.52112676056336</v>
      </c>
      <c r="D912" s="43">
        <f ca="1">WORKDAY(Inputs!$B$3, ROUND(C912, 0),Sheet2!$A$2:$A$21)</f>
        <v>46273</v>
      </c>
    </row>
    <row r="913" spans="1:4" x14ac:dyDescent="0.25">
      <c r="A913" s="42">
        <f t="shared" si="16"/>
        <v>912</v>
      </c>
      <c r="B913" s="42" cm="1">
        <f t="array" aca="1" ref="B913" ca="1">INDEX(Historical!$A$1:$A$18, RANDBETWEEN(1, COUNTA(Historical!$A$1:$A$18)))</f>
        <v>1.368421052631579</v>
      </c>
      <c r="C913" s="42">
        <f ca="1">Inputs!$B$2/B913</f>
        <v>163.69230769230768</v>
      </c>
      <c r="D913" s="43">
        <f ca="1">WORKDAY(Inputs!$B$3, ROUND(C913, 0),Sheet2!$A$2:$A$21)</f>
        <v>46258</v>
      </c>
    </row>
    <row r="914" spans="1:4" x14ac:dyDescent="0.25">
      <c r="A914" s="42">
        <f t="shared" si="16"/>
        <v>913</v>
      </c>
      <c r="B914" s="42" cm="1">
        <f t="array" aca="1" ref="B914" ca="1">INDEX(Historical!$A$1:$A$18, RANDBETWEEN(1, COUNTA(Historical!$A$1:$A$18)))</f>
        <v>1.3692307692307693</v>
      </c>
      <c r="C914" s="42">
        <f ca="1">Inputs!$B$2/B914</f>
        <v>163.59550561797752</v>
      </c>
      <c r="D914" s="43">
        <f ca="1">WORKDAY(Inputs!$B$3, ROUND(C914, 0),Sheet2!$A$2:$A$21)</f>
        <v>46258</v>
      </c>
    </row>
    <row r="915" spans="1:4" x14ac:dyDescent="0.25">
      <c r="A915" s="42">
        <f t="shared" si="16"/>
        <v>914</v>
      </c>
      <c r="B915" s="42" cm="1">
        <f t="array" aca="1" ref="B915" ca="1">INDEX(Historical!$A$1:$A$18, RANDBETWEEN(1, COUNTA(Historical!$A$1:$A$18)))</f>
        <v>1.5</v>
      </c>
      <c r="C915" s="42">
        <f ca="1">Inputs!$B$2/B915</f>
        <v>149.33333333333334</v>
      </c>
      <c r="D915" s="43">
        <f ca="1">WORKDAY(Inputs!$B$3, ROUND(C915, 0),Sheet2!$A$2:$A$21)</f>
        <v>46237</v>
      </c>
    </row>
    <row r="916" spans="1:4" x14ac:dyDescent="0.25">
      <c r="A916" s="42">
        <f t="shared" si="16"/>
        <v>915</v>
      </c>
      <c r="B916" s="42" cm="1">
        <f t="array" aca="1" ref="B916" ca="1">INDEX(Historical!$A$1:$A$18, RANDBETWEEN(1, COUNTA(Historical!$A$1:$A$18)))</f>
        <v>1.4137931034482758</v>
      </c>
      <c r="C916" s="42">
        <f ca="1">Inputs!$B$2/B916</f>
        <v>158.4390243902439</v>
      </c>
      <c r="D916" s="43">
        <f ca="1">WORKDAY(Inputs!$B$3, ROUND(C916, 0),Sheet2!$A$2:$A$21)</f>
        <v>46248</v>
      </c>
    </row>
    <row r="917" spans="1:4" x14ac:dyDescent="0.25">
      <c r="A917" s="42">
        <f t="shared" si="16"/>
        <v>916</v>
      </c>
      <c r="B917" s="42" cm="1">
        <f t="array" aca="1" ref="B917" ca="1">INDEX(Historical!$A$1:$A$18, RANDBETWEEN(1, COUNTA(Historical!$A$1:$A$18)))</f>
        <v>1.5</v>
      </c>
      <c r="C917" s="42">
        <f ca="1">Inputs!$B$2/B917</f>
        <v>149.33333333333334</v>
      </c>
      <c r="D917" s="43">
        <f ca="1">WORKDAY(Inputs!$B$3, ROUND(C917, 0),Sheet2!$A$2:$A$21)</f>
        <v>46237</v>
      </c>
    </row>
    <row r="918" spans="1:4" x14ac:dyDescent="0.25">
      <c r="A918" s="42">
        <f t="shared" si="16"/>
        <v>917</v>
      </c>
      <c r="B918" s="42" cm="1">
        <f t="array" aca="1" ref="B918" ca="1">INDEX(Historical!$A$1:$A$18, RANDBETWEEN(1, COUNTA(Historical!$A$1:$A$18)))</f>
        <v>1.4347826086956521</v>
      </c>
      <c r="C918" s="42">
        <f ca="1">Inputs!$B$2/B918</f>
        <v>156.12121212121212</v>
      </c>
      <c r="D918" s="43">
        <f ca="1">WORKDAY(Inputs!$B$3, ROUND(C918, 0),Sheet2!$A$2:$A$21)</f>
        <v>46246</v>
      </c>
    </row>
    <row r="919" spans="1:4" x14ac:dyDescent="0.25">
      <c r="A919" s="42">
        <f t="shared" si="16"/>
        <v>918</v>
      </c>
      <c r="B919" s="42" cm="1">
        <f t="array" aca="1" ref="B919" ca="1">INDEX(Historical!$A$1:$A$18, RANDBETWEEN(1, COUNTA(Historical!$A$1:$A$18)))</f>
        <v>1.4038461538461537</v>
      </c>
      <c r="C919" s="42">
        <f ca="1">Inputs!$B$2/B919</f>
        <v>159.56164383561645</v>
      </c>
      <c r="D919" s="43">
        <f ca="1">WORKDAY(Inputs!$B$3, ROUND(C919, 0),Sheet2!$A$2:$A$21)</f>
        <v>46252</v>
      </c>
    </row>
    <row r="920" spans="1:4" x14ac:dyDescent="0.25">
      <c r="A920" s="42">
        <f t="shared" si="16"/>
        <v>919</v>
      </c>
      <c r="B920" s="42" cm="1">
        <f t="array" aca="1" ref="B920" ca="1">INDEX(Historical!$A$1:$A$18, RANDBETWEEN(1, COUNTA(Historical!$A$1:$A$18)))</f>
        <v>1.4038461538461537</v>
      </c>
      <c r="C920" s="42">
        <f ca="1">Inputs!$B$2/B920</f>
        <v>159.56164383561645</v>
      </c>
      <c r="D920" s="43">
        <f ca="1">WORKDAY(Inputs!$B$3, ROUND(C920, 0),Sheet2!$A$2:$A$21)</f>
        <v>46252</v>
      </c>
    </row>
    <row r="921" spans="1:4" x14ac:dyDescent="0.25">
      <c r="A921" s="42">
        <f t="shared" si="16"/>
        <v>920</v>
      </c>
      <c r="B921" s="42" cm="1">
        <f t="array" aca="1" ref="B921" ca="1">INDEX(Historical!$A$1:$A$18, RANDBETWEEN(1, COUNTA(Historical!$A$1:$A$18)))</f>
        <v>1.5</v>
      </c>
      <c r="C921" s="42">
        <f ca="1">Inputs!$B$2/B921</f>
        <v>149.33333333333334</v>
      </c>
      <c r="D921" s="43">
        <f ca="1">WORKDAY(Inputs!$B$3, ROUND(C921, 0),Sheet2!$A$2:$A$21)</f>
        <v>46237</v>
      </c>
    </row>
    <row r="922" spans="1:4" x14ac:dyDescent="0.25">
      <c r="A922" s="42">
        <f t="shared" si="16"/>
        <v>921</v>
      </c>
      <c r="B922" s="42" cm="1">
        <f t="array" aca="1" ref="B922" ca="1">INDEX(Historical!$A$1:$A$18, RANDBETWEEN(1, COUNTA(Historical!$A$1:$A$18)))</f>
        <v>1.3611111111111112</v>
      </c>
      <c r="C922" s="42">
        <f ca="1">Inputs!$B$2/B922</f>
        <v>164.57142857142856</v>
      </c>
      <c r="D922" s="43">
        <f ca="1">WORKDAY(Inputs!$B$3, ROUND(C922, 0),Sheet2!$A$2:$A$21)</f>
        <v>46259</v>
      </c>
    </row>
    <row r="923" spans="1:4" x14ac:dyDescent="0.25">
      <c r="A923" s="42">
        <f t="shared" si="16"/>
        <v>922</v>
      </c>
      <c r="B923" s="42" cm="1">
        <f t="array" aca="1" ref="B923" ca="1">INDEX(Historical!$A$1:$A$18, RANDBETWEEN(1, COUNTA(Historical!$A$1:$A$18)))</f>
        <v>1.3617021276595744</v>
      </c>
      <c r="C923" s="42">
        <f ca="1">Inputs!$B$2/B923</f>
        <v>164.5</v>
      </c>
      <c r="D923" s="43">
        <f ca="1">WORKDAY(Inputs!$B$3, ROUND(C923, 0),Sheet2!$A$2:$A$21)</f>
        <v>46259</v>
      </c>
    </row>
    <row r="924" spans="1:4" x14ac:dyDescent="0.25">
      <c r="A924" s="42">
        <f t="shared" si="16"/>
        <v>923</v>
      </c>
      <c r="B924" s="42" cm="1">
        <f t="array" aca="1" ref="B924" ca="1">INDEX(Historical!$A$1:$A$18, RANDBETWEEN(1, COUNTA(Historical!$A$1:$A$18)))</f>
        <v>1.368421052631579</v>
      </c>
      <c r="C924" s="42">
        <f ca="1">Inputs!$B$2/B924</f>
        <v>163.69230769230768</v>
      </c>
      <c r="D924" s="43">
        <f ca="1">WORKDAY(Inputs!$B$3, ROUND(C924, 0),Sheet2!$A$2:$A$21)</f>
        <v>46258</v>
      </c>
    </row>
    <row r="925" spans="1:4" x14ac:dyDescent="0.25">
      <c r="A925" s="42">
        <f t="shared" si="16"/>
        <v>924</v>
      </c>
      <c r="B925" s="42" cm="1">
        <f t="array" aca="1" ref="B925" ca="1">INDEX(Historical!$A$1:$A$18, RANDBETWEEN(1, COUNTA(Historical!$A$1:$A$18)))</f>
        <v>1.4347826086956521</v>
      </c>
      <c r="C925" s="42">
        <f ca="1">Inputs!$B$2/B925</f>
        <v>156.12121212121212</v>
      </c>
      <c r="D925" s="43">
        <f ca="1">WORKDAY(Inputs!$B$3, ROUND(C925, 0),Sheet2!$A$2:$A$21)</f>
        <v>46246</v>
      </c>
    </row>
    <row r="926" spans="1:4" x14ac:dyDescent="0.25">
      <c r="A926" s="42">
        <f t="shared" si="16"/>
        <v>925</v>
      </c>
      <c r="B926" s="42" cm="1">
        <f t="array" aca="1" ref="B926" ca="1">INDEX(Historical!$A$1:$A$18, RANDBETWEEN(1, COUNTA(Historical!$A$1:$A$18)))</f>
        <v>1.3692307692307693</v>
      </c>
      <c r="C926" s="42">
        <f ca="1">Inputs!$B$2/B926</f>
        <v>163.59550561797752</v>
      </c>
      <c r="D926" s="43">
        <f ca="1">WORKDAY(Inputs!$B$3, ROUND(C926, 0),Sheet2!$A$2:$A$21)</f>
        <v>46258</v>
      </c>
    </row>
    <row r="927" spans="1:4" x14ac:dyDescent="0.25">
      <c r="A927" s="42">
        <f t="shared" si="16"/>
        <v>926</v>
      </c>
      <c r="B927" s="42" cm="1">
        <f t="array" aca="1" ref="B927" ca="1">INDEX(Historical!$A$1:$A$18, RANDBETWEEN(1, COUNTA(Historical!$A$1:$A$18)))</f>
        <v>1.5</v>
      </c>
      <c r="C927" s="42">
        <f ca="1">Inputs!$B$2/B927</f>
        <v>149.33333333333334</v>
      </c>
      <c r="D927" s="43">
        <f ca="1">WORKDAY(Inputs!$B$3, ROUND(C927, 0),Sheet2!$A$2:$A$21)</f>
        <v>46237</v>
      </c>
    </row>
    <row r="928" spans="1:4" x14ac:dyDescent="0.25">
      <c r="A928" s="42">
        <f t="shared" si="16"/>
        <v>927</v>
      </c>
      <c r="B928" s="42" cm="1">
        <f t="array" aca="1" ref="B928" ca="1">INDEX(Historical!$A$1:$A$18, RANDBETWEEN(1, COUNTA(Historical!$A$1:$A$18)))</f>
        <v>1.3214285714285714</v>
      </c>
      <c r="C928" s="42">
        <f ca="1">Inputs!$B$2/B928</f>
        <v>169.51351351351352</v>
      </c>
      <c r="D928" s="43">
        <f ca="1">WORKDAY(Inputs!$B$3, ROUND(C928, 0),Sheet2!$A$2:$A$21)</f>
        <v>46266</v>
      </c>
    </row>
    <row r="929" spans="1:4" x14ac:dyDescent="0.25">
      <c r="A929" s="42">
        <f t="shared" si="16"/>
        <v>928</v>
      </c>
      <c r="B929" s="42" cm="1">
        <f t="array" aca="1" ref="B929" ca="1">INDEX(Historical!$A$1:$A$18, RANDBETWEEN(1, COUNTA(Historical!$A$1:$A$18)))</f>
        <v>1.3611111111111112</v>
      </c>
      <c r="C929" s="42">
        <f ca="1">Inputs!$B$2/B929</f>
        <v>164.57142857142856</v>
      </c>
      <c r="D929" s="43">
        <f ca="1">WORKDAY(Inputs!$B$3, ROUND(C929, 0),Sheet2!$A$2:$A$21)</f>
        <v>46259</v>
      </c>
    </row>
    <row r="930" spans="1:4" x14ac:dyDescent="0.25">
      <c r="A930" s="42">
        <f t="shared" si="16"/>
        <v>929</v>
      </c>
      <c r="B930" s="42" cm="1">
        <f t="array" aca="1" ref="B930" ca="1">INDEX(Historical!$A$1:$A$18, RANDBETWEEN(1, COUNTA(Historical!$A$1:$A$18)))</f>
        <v>1.2941176470588236</v>
      </c>
      <c r="C930" s="42">
        <f ca="1">Inputs!$B$2/B930</f>
        <v>173.09090909090909</v>
      </c>
      <c r="D930" s="43">
        <f ca="1">WORKDAY(Inputs!$B$3, ROUND(C930, 0),Sheet2!$A$2:$A$21)</f>
        <v>46269</v>
      </c>
    </row>
    <row r="931" spans="1:4" x14ac:dyDescent="0.25">
      <c r="A931" s="42">
        <f t="shared" si="16"/>
        <v>930</v>
      </c>
      <c r="B931" s="42" cm="1">
        <f t="array" aca="1" ref="B931" ca="1">INDEX(Historical!$A$1:$A$18, RANDBETWEEN(1, COUNTA(Historical!$A$1:$A$18)))</f>
        <v>1.4137931034482758</v>
      </c>
      <c r="C931" s="42">
        <f ca="1">Inputs!$B$2/B931</f>
        <v>158.4390243902439</v>
      </c>
      <c r="D931" s="43">
        <f ca="1">WORKDAY(Inputs!$B$3, ROUND(C931, 0),Sheet2!$A$2:$A$21)</f>
        <v>46248</v>
      </c>
    </row>
    <row r="932" spans="1:4" x14ac:dyDescent="0.25">
      <c r="A932" s="42">
        <f t="shared" si="16"/>
        <v>931</v>
      </c>
      <c r="B932" s="42" cm="1">
        <f t="array" aca="1" ref="B932" ca="1">INDEX(Historical!$A$1:$A$18, RANDBETWEEN(1, COUNTA(Historical!$A$1:$A$18)))</f>
        <v>1.4761904761904763</v>
      </c>
      <c r="C932" s="42">
        <f ca="1">Inputs!$B$2/B932</f>
        <v>151.74193548387095</v>
      </c>
      <c r="D932" s="43">
        <f ca="1">WORKDAY(Inputs!$B$3, ROUND(C932, 0),Sheet2!$A$2:$A$21)</f>
        <v>46240</v>
      </c>
    </row>
    <row r="933" spans="1:4" x14ac:dyDescent="0.25">
      <c r="A933" s="42">
        <f t="shared" si="16"/>
        <v>932</v>
      </c>
      <c r="B933" s="42" cm="1">
        <f t="array" aca="1" ref="B933" ca="1">INDEX(Historical!$A$1:$A$18, RANDBETWEEN(1, COUNTA(Historical!$A$1:$A$18)))</f>
        <v>1.4347826086956521</v>
      </c>
      <c r="C933" s="42">
        <f ca="1">Inputs!$B$2/B933</f>
        <v>156.12121212121212</v>
      </c>
      <c r="D933" s="43">
        <f ca="1">WORKDAY(Inputs!$B$3, ROUND(C933, 0),Sheet2!$A$2:$A$21)</f>
        <v>46246</v>
      </c>
    </row>
    <row r="934" spans="1:4" x14ac:dyDescent="0.25">
      <c r="A934" s="42">
        <f t="shared" si="16"/>
        <v>933</v>
      </c>
      <c r="B934" s="42" cm="1">
        <f t="array" aca="1" ref="B934" ca="1">INDEX(Historical!$A$1:$A$18, RANDBETWEEN(1, COUNTA(Historical!$A$1:$A$18)))</f>
        <v>1.303030303030303</v>
      </c>
      <c r="C934" s="42">
        <f ca="1">Inputs!$B$2/B934</f>
        <v>171.90697674418604</v>
      </c>
      <c r="D934" s="43">
        <f ca="1">WORKDAY(Inputs!$B$3, ROUND(C934, 0),Sheet2!$A$2:$A$21)</f>
        <v>46268</v>
      </c>
    </row>
    <row r="935" spans="1:4" x14ac:dyDescent="0.25">
      <c r="A935" s="42">
        <f t="shared" si="16"/>
        <v>934</v>
      </c>
      <c r="B935" s="42" cm="1">
        <f t="array" aca="1" ref="B935" ca="1">INDEX(Historical!$A$1:$A$18, RANDBETWEEN(1, COUNTA(Historical!$A$1:$A$18)))</f>
        <v>1.5</v>
      </c>
      <c r="C935" s="42">
        <f ca="1">Inputs!$B$2/B935</f>
        <v>149.33333333333334</v>
      </c>
      <c r="D935" s="43">
        <f ca="1">WORKDAY(Inputs!$B$3, ROUND(C935, 0),Sheet2!$A$2:$A$21)</f>
        <v>46237</v>
      </c>
    </row>
    <row r="936" spans="1:4" x14ac:dyDescent="0.25">
      <c r="A936" s="42">
        <f t="shared" si="16"/>
        <v>935</v>
      </c>
      <c r="B936" s="42" cm="1">
        <f t="array" aca="1" ref="B936" ca="1">INDEX(Historical!$A$1:$A$18, RANDBETWEEN(1, COUNTA(Historical!$A$1:$A$18)))</f>
        <v>1.3611111111111112</v>
      </c>
      <c r="C936" s="42">
        <f ca="1">Inputs!$B$2/B936</f>
        <v>164.57142857142856</v>
      </c>
      <c r="D936" s="43">
        <f ca="1">WORKDAY(Inputs!$B$3, ROUND(C936, 0),Sheet2!$A$2:$A$21)</f>
        <v>46259</v>
      </c>
    </row>
    <row r="937" spans="1:4" x14ac:dyDescent="0.25">
      <c r="A937" s="42">
        <f t="shared" si="16"/>
        <v>936</v>
      </c>
      <c r="B937" s="42" cm="1">
        <f t="array" aca="1" ref="B937" ca="1">INDEX(Historical!$A$1:$A$18, RANDBETWEEN(1, COUNTA(Historical!$A$1:$A$18)))</f>
        <v>1.5</v>
      </c>
      <c r="C937" s="42">
        <f ca="1">Inputs!$B$2/B937</f>
        <v>149.33333333333334</v>
      </c>
      <c r="D937" s="43">
        <f ca="1">WORKDAY(Inputs!$B$3, ROUND(C937, 0),Sheet2!$A$2:$A$21)</f>
        <v>46237</v>
      </c>
    </row>
    <row r="938" spans="1:4" x14ac:dyDescent="0.25">
      <c r="A938" s="42">
        <f t="shared" si="16"/>
        <v>937</v>
      </c>
      <c r="B938" s="42" cm="1">
        <f t="array" aca="1" ref="B938" ca="1">INDEX(Historical!$A$1:$A$18, RANDBETWEEN(1, COUNTA(Historical!$A$1:$A$18)))</f>
        <v>1.4761904761904763</v>
      </c>
      <c r="C938" s="42">
        <f ca="1">Inputs!$B$2/B938</f>
        <v>151.74193548387095</v>
      </c>
      <c r="D938" s="43">
        <f ca="1">WORKDAY(Inputs!$B$3, ROUND(C938, 0),Sheet2!$A$2:$A$21)</f>
        <v>46240</v>
      </c>
    </row>
    <row r="939" spans="1:4" x14ac:dyDescent="0.25">
      <c r="A939" s="42">
        <f t="shared" si="16"/>
        <v>938</v>
      </c>
      <c r="B939" s="42" cm="1">
        <f t="array" aca="1" ref="B939" ca="1">INDEX(Historical!$A$1:$A$18, RANDBETWEEN(1, COUNTA(Historical!$A$1:$A$18)))</f>
        <v>1.4137931034482758</v>
      </c>
      <c r="C939" s="42">
        <f ca="1">Inputs!$B$2/B939</f>
        <v>158.4390243902439</v>
      </c>
      <c r="D939" s="43">
        <f ca="1">WORKDAY(Inputs!$B$3, ROUND(C939, 0),Sheet2!$A$2:$A$21)</f>
        <v>46248</v>
      </c>
    </row>
    <row r="940" spans="1:4" x14ac:dyDescent="0.25">
      <c r="A940" s="42">
        <f t="shared" si="16"/>
        <v>939</v>
      </c>
      <c r="B940" s="42" cm="1">
        <f t="array" aca="1" ref="B940" ca="1">INDEX(Historical!$A$1:$A$18, RANDBETWEEN(1, COUNTA(Historical!$A$1:$A$18)))</f>
        <v>1.4038461538461537</v>
      </c>
      <c r="C940" s="42">
        <f ca="1">Inputs!$B$2/B940</f>
        <v>159.56164383561645</v>
      </c>
      <c r="D940" s="43">
        <f ca="1">WORKDAY(Inputs!$B$3, ROUND(C940, 0),Sheet2!$A$2:$A$21)</f>
        <v>46252</v>
      </c>
    </row>
    <row r="941" spans="1:4" x14ac:dyDescent="0.25">
      <c r="A941" s="42">
        <f t="shared" si="16"/>
        <v>940</v>
      </c>
      <c r="B941" s="42" cm="1">
        <f t="array" aca="1" ref="B941" ca="1">INDEX(Historical!$A$1:$A$18, RANDBETWEEN(1, COUNTA(Historical!$A$1:$A$18)))</f>
        <v>1.3157894736842106</v>
      </c>
      <c r="C941" s="42">
        <f ca="1">Inputs!$B$2/B941</f>
        <v>170.23999999999998</v>
      </c>
      <c r="D941" s="43">
        <f ca="1">WORKDAY(Inputs!$B$3, ROUND(C941, 0),Sheet2!$A$2:$A$21)</f>
        <v>46266</v>
      </c>
    </row>
    <row r="942" spans="1:4" x14ac:dyDescent="0.25">
      <c r="A942" s="42">
        <f t="shared" si="16"/>
        <v>941</v>
      </c>
      <c r="B942" s="42" cm="1">
        <f t="array" aca="1" ref="B942" ca="1">INDEX(Historical!$A$1:$A$18, RANDBETWEEN(1, COUNTA(Historical!$A$1:$A$18)))</f>
        <v>1.3617021276595744</v>
      </c>
      <c r="C942" s="42">
        <f ca="1">Inputs!$B$2/B942</f>
        <v>164.5</v>
      </c>
      <c r="D942" s="43">
        <f ca="1">WORKDAY(Inputs!$B$3, ROUND(C942, 0),Sheet2!$A$2:$A$21)</f>
        <v>46259</v>
      </c>
    </row>
    <row r="943" spans="1:4" x14ac:dyDescent="0.25">
      <c r="A943" s="42">
        <f t="shared" si="16"/>
        <v>942</v>
      </c>
      <c r="B943" s="42" cm="1">
        <f t="array" aca="1" ref="B943" ca="1">INDEX(Historical!$A$1:$A$18, RANDBETWEEN(1, COUNTA(Historical!$A$1:$A$18)))</f>
        <v>1.4137931034482758</v>
      </c>
      <c r="C943" s="42">
        <f ca="1">Inputs!$B$2/B943</f>
        <v>158.4390243902439</v>
      </c>
      <c r="D943" s="43">
        <f ca="1">WORKDAY(Inputs!$B$3, ROUND(C943, 0),Sheet2!$A$2:$A$21)</f>
        <v>46248</v>
      </c>
    </row>
    <row r="944" spans="1:4" x14ac:dyDescent="0.25">
      <c r="A944" s="42">
        <f t="shared" si="16"/>
        <v>943</v>
      </c>
      <c r="B944" s="42" cm="1">
        <f t="array" aca="1" ref="B944" ca="1">INDEX(Historical!$A$1:$A$18, RANDBETWEEN(1, COUNTA(Historical!$A$1:$A$18)))</f>
        <v>1.2941176470588236</v>
      </c>
      <c r="C944" s="42">
        <f ca="1">Inputs!$B$2/B944</f>
        <v>173.09090909090909</v>
      </c>
      <c r="D944" s="43">
        <f ca="1">WORKDAY(Inputs!$B$3, ROUND(C944, 0),Sheet2!$A$2:$A$21)</f>
        <v>46269</v>
      </c>
    </row>
    <row r="945" spans="1:4" x14ac:dyDescent="0.25">
      <c r="A945" s="42">
        <f t="shared" si="16"/>
        <v>944</v>
      </c>
      <c r="B945" s="42" cm="1">
        <f t="array" aca="1" ref="B945" ca="1">INDEX(Historical!$A$1:$A$18, RANDBETWEEN(1, COUNTA(Historical!$A$1:$A$18)))</f>
        <v>1.4137931034482758</v>
      </c>
      <c r="C945" s="42">
        <f ca="1">Inputs!$B$2/B945</f>
        <v>158.4390243902439</v>
      </c>
      <c r="D945" s="43">
        <f ca="1">WORKDAY(Inputs!$B$3, ROUND(C945, 0),Sheet2!$A$2:$A$21)</f>
        <v>46248</v>
      </c>
    </row>
    <row r="946" spans="1:4" x14ac:dyDescent="0.25">
      <c r="A946" s="42">
        <f t="shared" si="16"/>
        <v>945</v>
      </c>
      <c r="B946" s="42" cm="1">
        <f t="array" aca="1" ref="B946" ca="1">INDEX(Historical!$A$1:$A$18, RANDBETWEEN(1, COUNTA(Historical!$A$1:$A$18)))</f>
        <v>1.5</v>
      </c>
      <c r="C946" s="42">
        <f ca="1">Inputs!$B$2/B946</f>
        <v>149.33333333333334</v>
      </c>
      <c r="D946" s="43">
        <f ca="1">WORKDAY(Inputs!$B$3, ROUND(C946, 0),Sheet2!$A$2:$A$21)</f>
        <v>46237</v>
      </c>
    </row>
    <row r="947" spans="1:4" x14ac:dyDescent="0.25">
      <c r="A947" s="42">
        <f t="shared" si="16"/>
        <v>946</v>
      </c>
      <c r="B947" s="42" cm="1">
        <f t="array" aca="1" ref="B947" ca="1">INDEX(Historical!$A$1:$A$18, RANDBETWEEN(1, COUNTA(Historical!$A$1:$A$18)))</f>
        <v>1.3559322033898304</v>
      </c>
      <c r="C947" s="42">
        <f ca="1">Inputs!$B$2/B947</f>
        <v>165.20000000000002</v>
      </c>
      <c r="D947" s="43">
        <f ca="1">WORKDAY(Inputs!$B$3, ROUND(C947, 0),Sheet2!$A$2:$A$21)</f>
        <v>46259</v>
      </c>
    </row>
    <row r="948" spans="1:4" x14ac:dyDescent="0.25">
      <c r="A948" s="42">
        <f t="shared" si="16"/>
        <v>947</v>
      </c>
      <c r="B948" s="42" cm="1">
        <f t="array" aca="1" ref="B948" ca="1">INDEX(Historical!$A$1:$A$18, RANDBETWEEN(1, COUNTA(Historical!$A$1:$A$18)))</f>
        <v>1.290909090909091</v>
      </c>
      <c r="C948" s="42">
        <f ca="1">Inputs!$B$2/B948</f>
        <v>173.52112676056336</v>
      </c>
      <c r="D948" s="43">
        <f ca="1">WORKDAY(Inputs!$B$3, ROUND(C948, 0),Sheet2!$A$2:$A$21)</f>
        <v>46273</v>
      </c>
    </row>
    <row r="949" spans="1:4" x14ac:dyDescent="0.25">
      <c r="A949" s="42">
        <f t="shared" si="16"/>
        <v>948</v>
      </c>
      <c r="B949" s="42" cm="1">
        <f t="array" aca="1" ref="B949" ca="1">INDEX(Historical!$A$1:$A$18, RANDBETWEEN(1, COUNTA(Historical!$A$1:$A$18)))</f>
        <v>1.3611111111111112</v>
      </c>
      <c r="C949" s="42">
        <f ca="1">Inputs!$B$2/B949</f>
        <v>164.57142857142856</v>
      </c>
      <c r="D949" s="43">
        <f ca="1">WORKDAY(Inputs!$B$3, ROUND(C949, 0),Sheet2!$A$2:$A$21)</f>
        <v>46259</v>
      </c>
    </row>
    <row r="950" spans="1:4" x14ac:dyDescent="0.25">
      <c r="A950" s="42">
        <f t="shared" si="16"/>
        <v>949</v>
      </c>
      <c r="B950" s="42" cm="1">
        <f t="array" aca="1" ref="B950" ca="1">INDEX(Historical!$A$1:$A$18, RANDBETWEEN(1, COUNTA(Historical!$A$1:$A$18)))</f>
        <v>1.5</v>
      </c>
      <c r="C950" s="42">
        <f ca="1">Inputs!$B$2/B950</f>
        <v>149.33333333333334</v>
      </c>
      <c r="D950" s="43">
        <f ca="1">WORKDAY(Inputs!$B$3, ROUND(C950, 0),Sheet2!$A$2:$A$21)</f>
        <v>46237</v>
      </c>
    </row>
    <row r="951" spans="1:4" x14ac:dyDescent="0.25">
      <c r="A951" s="42">
        <f t="shared" si="16"/>
        <v>950</v>
      </c>
      <c r="B951" s="42" cm="1">
        <f t="array" aca="1" ref="B951" ca="1">INDEX(Historical!$A$1:$A$18, RANDBETWEEN(1, COUNTA(Historical!$A$1:$A$18)))</f>
        <v>1.1666666666666667</v>
      </c>
      <c r="C951" s="42">
        <f ca="1">Inputs!$B$2/B951</f>
        <v>192</v>
      </c>
      <c r="D951" s="43">
        <f ca="1">WORKDAY(Inputs!$B$3, ROUND(C951, 0),Sheet2!$A$2:$A$21)</f>
        <v>46297</v>
      </c>
    </row>
    <row r="952" spans="1:4" x14ac:dyDescent="0.25">
      <c r="A952" s="42">
        <f t="shared" si="16"/>
        <v>951</v>
      </c>
      <c r="B952" s="42" cm="1">
        <f t="array" aca="1" ref="B952" ca="1">INDEX(Historical!$A$1:$A$18, RANDBETWEEN(1, COUNTA(Historical!$A$1:$A$18)))</f>
        <v>1.290909090909091</v>
      </c>
      <c r="C952" s="42">
        <f ca="1">Inputs!$B$2/B952</f>
        <v>173.52112676056336</v>
      </c>
      <c r="D952" s="43">
        <f ca="1">WORKDAY(Inputs!$B$3, ROUND(C952, 0),Sheet2!$A$2:$A$21)</f>
        <v>46273</v>
      </c>
    </row>
    <row r="953" spans="1:4" x14ac:dyDescent="0.25">
      <c r="A953" s="42">
        <f t="shared" si="16"/>
        <v>952</v>
      </c>
      <c r="B953" s="42" cm="1">
        <f t="array" aca="1" ref="B953" ca="1">INDEX(Historical!$A$1:$A$18, RANDBETWEEN(1, COUNTA(Historical!$A$1:$A$18)))</f>
        <v>1.4137931034482758</v>
      </c>
      <c r="C953" s="42">
        <f ca="1">Inputs!$B$2/B953</f>
        <v>158.4390243902439</v>
      </c>
      <c r="D953" s="43">
        <f ca="1">WORKDAY(Inputs!$B$3, ROUND(C953, 0),Sheet2!$A$2:$A$21)</f>
        <v>46248</v>
      </c>
    </row>
    <row r="954" spans="1:4" x14ac:dyDescent="0.25">
      <c r="A954" s="42">
        <f t="shared" si="16"/>
        <v>953</v>
      </c>
      <c r="B954" s="42" cm="1">
        <f t="array" aca="1" ref="B954" ca="1">INDEX(Historical!$A$1:$A$18, RANDBETWEEN(1, COUNTA(Historical!$A$1:$A$18)))</f>
        <v>1.4761904761904763</v>
      </c>
      <c r="C954" s="42">
        <f ca="1">Inputs!$B$2/B954</f>
        <v>151.74193548387095</v>
      </c>
      <c r="D954" s="43">
        <f ca="1">WORKDAY(Inputs!$B$3, ROUND(C954, 0),Sheet2!$A$2:$A$21)</f>
        <v>46240</v>
      </c>
    </row>
    <row r="955" spans="1:4" x14ac:dyDescent="0.25">
      <c r="A955" s="42">
        <f t="shared" si="16"/>
        <v>954</v>
      </c>
      <c r="B955" s="42" cm="1">
        <f t="array" aca="1" ref="B955" ca="1">INDEX(Historical!$A$1:$A$18, RANDBETWEEN(1, COUNTA(Historical!$A$1:$A$18)))</f>
        <v>1.290909090909091</v>
      </c>
      <c r="C955" s="42">
        <f ca="1">Inputs!$B$2/B955</f>
        <v>173.52112676056336</v>
      </c>
      <c r="D955" s="43">
        <f ca="1">WORKDAY(Inputs!$B$3, ROUND(C955, 0),Sheet2!$A$2:$A$21)</f>
        <v>46273</v>
      </c>
    </row>
    <row r="956" spans="1:4" x14ac:dyDescent="0.25">
      <c r="A956" s="42">
        <f t="shared" si="16"/>
        <v>955</v>
      </c>
      <c r="B956" s="42" cm="1">
        <f t="array" aca="1" ref="B956" ca="1">INDEX(Historical!$A$1:$A$18, RANDBETWEEN(1, COUNTA(Historical!$A$1:$A$18)))</f>
        <v>1.303030303030303</v>
      </c>
      <c r="C956" s="42">
        <f ca="1">Inputs!$B$2/B956</f>
        <v>171.90697674418604</v>
      </c>
      <c r="D956" s="43">
        <f ca="1">WORKDAY(Inputs!$B$3, ROUND(C956, 0),Sheet2!$A$2:$A$21)</f>
        <v>46268</v>
      </c>
    </row>
    <row r="957" spans="1:4" x14ac:dyDescent="0.25">
      <c r="A957" s="42">
        <f t="shared" si="16"/>
        <v>956</v>
      </c>
      <c r="B957" s="42" cm="1">
        <f t="array" aca="1" ref="B957" ca="1">INDEX(Historical!$A$1:$A$18, RANDBETWEEN(1, COUNTA(Historical!$A$1:$A$18)))</f>
        <v>1.290909090909091</v>
      </c>
      <c r="C957" s="42">
        <f ca="1">Inputs!$B$2/B957</f>
        <v>173.52112676056336</v>
      </c>
      <c r="D957" s="43">
        <f ca="1">WORKDAY(Inputs!$B$3, ROUND(C957, 0),Sheet2!$A$2:$A$21)</f>
        <v>46273</v>
      </c>
    </row>
    <row r="958" spans="1:4" x14ac:dyDescent="0.25">
      <c r="A958" s="42">
        <f t="shared" si="16"/>
        <v>957</v>
      </c>
      <c r="B958" s="42" cm="1">
        <f t="array" aca="1" ref="B958" ca="1">INDEX(Historical!$A$1:$A$18, RANDBETWEEN(1, COUNTA(Historical!$A$1:$A$18)))</f>
        <v>1.3707865168539326</v>
      </c>
      <c r="C958" s="42">
        <f ca="1">Inputs!$B$2/B958</f>
        <v>163.40983606557376</v>
      </c>
      <c r="D958" s="43">
        <f ca="1">WORKDAY(Inputs!$B$3, ROUND(C958, 0),Sheet2!$A$2:$A$21)</f>
        <v>46255</v>
      </c>
    </row>
    <row r="959" spans="1:4" x14ac:dyDescent="0.25">
      <c r="A959" s="42">
        <f t="shared" si="16"/>
        <v>958</v>
      </c>
      <c r="B959" s="42" cm="1">
        <f t="array" aca="1" ref="B959" ca="1">INDEX(Historical!$A$1:$A$18, RANDBETWEEN(1, COUNTA(Historical!$A$1:$A$18)))</f>
        <v>1.3214285714285714</v>
      </c>
      <c r="C959" s="42">
        <f ca="1">Inputs!$B$2/B959</f>
        <v>169.51351351351352</v>
      </c>
      <c r="D959" s="43">
        <f ca="1">WORKDAY(Inputs!$B$3, ROUND(C959, 0),Sheet2!$A$2:$A$21)</f>
        <v>46266</v>
      </c>
    </row>
    <row r="960" spans="1:4" x14ac:dyDescent="0.25">
      <c r="A960" s="42">
        <f t="shared" si="16"/>
        <v>959</v>
      </c>
      <c r="B960" s="42" cm="1">
        <f t="array" aca="1" ref="B960" ca="1">INDEX(Historical!$A$1:$A$18, RANDBETWEEN(1, COUNTA(Historical!$A$1:$A$18)))</f>
        <v>1.3707865168539326</v>
      </c>
      <c r="C960" s="42">
        <f ca="1">Inputs!$B$2/B960</f>
        <v>163.40983606557376</v>
      </c>
      <c r="D960" s="43">
        <f ca="1">WORKDAY(Inputs!$B$3, ROUND(C960, 0),Sheet2!$A$2:$A$21)</f>
        <v>46255</v>
      </c>
    </row>
    <row r="961" spans="1:4" x14ac:dyDescent="0.25">
      <c r="A961" s="42">
        <f t="shared" si="16"/>
        <v>960</v>
      </c>
      <c r="B961" s="42" cm="1">
        <f t="array" aca="1" ref="B961" ca="1">INDEX(Historical!$A$1:$A$18, RANDBETWEEN(1, COUNTA(Historical!$A$1:$A$18)))</f>
        <v>1.4137931034482758</v>
      </c>
      <c r="C961" s="42">
        <f ca="1">Inputs!$B$2/B961</f>
        <v>158.4390243902439</v>
      </c>
      <c r="D961" s="43">
        <f ca="1">WORKDAY(Inputs!$B$3, ROUND(C961, 0),Sheet2!$A$2:$A$21)</f>
        <v>46248</v>
      </c>
    </row>
    <row r="962" spans="1:4" x14ac:dyDescent="0.25">
      <c r="A962" s="42">
        <f t="shared" si="16"/>
        <v>961</v>
      </c>
      <c r="B962" s="42" cm="1">
        <f t="array" aca="1" ref="B962" ca="1">INDEX(Historical!$A$1:$A$18, RANDBETWEEN(1, COUNTA(Historical!$A$1:$A$18)))</f>
        <v>1.3707865168539326</v>
      </c>
      <c r="C962" s="42">
        <f ca="1">Inputs!$B$2/B962</f>
        <v>163.40983606557376</v>
      </c>
      <c r="D962" s="43">
        <f ca="1">WORKDAY(Inputs!$B$3, ROUND(C962, 0),Sheet2!$A$2:$A$21)</f>
        <v>46255</v>
      </c>
    </row>
    <row r="963" spans="1:4" x14ac:dyDescent="0.25">
      <c r="A963" s="42">
        <f t="shared" ref="A963:A1026" si="17">ROW()-1</f>
        <v>962</v>
      </c>
      <c r="B963" s="42" cm="1">
        <f t="array" aca="1" ref="B963" ca="1">INDEX(Historical!$A$1:$A$18, RANDBETWEEN(1, COUNTA(Historical!$A$1:$A$18)))</f>
        <v>1.375</v>
      </c>
      <c r="C963" s="42">
        <f ca="1">Inputs!$B$2/B963</f>
        <v>162.90909090909091</v>
      </c>
      <c r="D963" s="43">
        <f ca="1">WORKDAY(Inputs!$B$3, ROUND(C963, 0),Sheet2!$A$2:$A$21)</f>
        <v>46255</v>
      </c>
    </row>
    <row r="964" spans="1:4" x14ac:dyDescent="0.25">
      <c r="A964" s="42">
        <f t="shared" si="17"/>
        <v>963</v>
      </c>
      <c r="B964" s="42" cm="1">
        <f t="array" aca="1" ref="B964" ca="1">INDEX(Historical!$A$1:$A$18, RANDBETWEEN(1, COUNTA(Historical!$A$1:$A$18)))</f>
        <v>1.4038461538461537</v>
      </c>
      <c r="C964" s="42">
        <f ca="1">Inputs!$B$2/B964</f>
        <v>159.56164383561645</v>
      </c>
      <c r="D964" s="43">
        <f ca="1">WORKDAY(Inputs!$B$3, ROUND(C964, 0),Sheet2!$A$2:$A$21)</f>
        <v>46252</v>
      </c>
    </row>
    <row r="965" spans="1:4" x14ac:dyDescent="0.25">
      <c r="A965" s="42">
        <f t="shared" si="17"/>
        <v>964</v>
      </c>
      <c r="B965" s="42" cm="1">
        <f t="array" aca="1" ref="B965" ca="1">INDEX(Historical!$A$1:$A$18, RANDBETWEEN(1, COUNTA(Historical!$A$1:$A$18)))</f>
        <v>1.3617021276595744</v>
      </c>
      <c r="C965" s="42">
        <f ca="1">Inputs!$B$2/B965</f>
        <v>164.5</v>
      </c>
      <c r="D965" s="43">
        <f ca="1">WORKDAY(Inputs!$B$3, ROUND(C965, 0),Sheet2!$A$2:$A$21)</f>
        <v>46259</v>
      </c>
    </row>
    <row r="966" spans="1:4" x14ac:dyDescent="0.25">
      <c r="A966" s="42">
        <f t="shared" si="17"/>
        <v>965</v>
      </c>
      <c r="B966" s="42" cm="1">
        <f t="array" aca="1" ref="B966" ca="1">INDEX(Historical!$A$1:$A$18, RANDBETWEEN(1, COUNTA(Historical!$A$1:$A$18)))</f>
        <v>1.3617021276595744</v>
      </c>
      <c r="C966" s="42">
        <f ca="1">Inputs!$B$2/B966</f>
        <v>164.5</v>
      </c>
      <c r="D966" s="43">
        <f ca="1">WORKDAY(Inputs!$B$3, ROUND(C966, 0),Sheet2!$A$2:$A$21)</f>
        <v>46259</v>
      </c>
    </row>
    <row r="967" spans="1:4" x14ac:dyDescent="0.25">
      <c r="A967" s="42">
        <f t="shared" si="17"/>
        <v>966</v>
      </c>
      <c r="B967" s="42" cm="1">
        <f t="array" aca="1" ref="B967" ca="1">INDEX(Historical!$A$1:$A$18, RANDBETWEEN(1, COUNTA(Historical!$A$1:$A$18)))</f>
        <v>1.303030303030303</v>
      </c>
      <c r="C967" s="42">
        <f ca="1">Inputs!$B$2/B967</f>
        <v>171.90697674418604</v>
      </c>
      <c r="D967" s="43">
        <f ca="1">WORKDAY(Inputs!$B$3, ROUND(C967, 0),Sheet2!$A$2:$A$21)</f>
        <v>46268</v>
      </c>
    </row>
    <row r="968" spans="1:4" x14ac:dyDescent="0.25">
      <c r="A968" s="42">
        <f t="shared" si="17"/>
        <v>967</v>
      </c>
      <c r="B968" s="42" cm="1">
        <f t="array" aca="1" ref="B968" ca="1">INDEX(Historical!$A$1:$A$18, RANDBETWEEN(1, COUNTA(Historical!$A$1:$A$18)))</f>
        <v>1.4347826086956521</v>
      </c>
      <c r="C968" s="42">
        <f ca="1">Inputs!$B$2/B968</f>
        <v>156.12121212121212</v>
      </c>
      <c r="D968" s="43">
        <f ca="1">WORKDAY(Inputs!$B$3, ROUND(C968, 0),Sheet2!$A$2:$A$21)</f>
        <v>46246</v>
      </c>
    </row>
    <row r="969" spans="1:4" x14ac:dyDescent="0.25">
      <c r="A969" s="42">
        <f t="shared" si="17"/>
        <v>968</v>
      </c>
      <c r="B969" s="42" cm="1">
        <f t="array" aca="1" ref="B969" ca="1">INDEX(Historical!$A$1:$A$18, RANDBETWEEN(1, COUNTA(Historical!$A$1:$A$18)))</f>
        <v>1.3617021276595744</v>
      </c>
      <c r="C969" s="42">
        <f ca="1">Inputs!$B$2/B969</f>
        <v>164.5</v>
      </c>
      <c r="D969" s="43">
        <f ca="1">WORKDAY(Inputs!$B$3, ROUND(C969, 0),Sheet2!$A$2:$A$21)</f>
        <v>46259</v>
      </c>
    </row>
    <row r="970" spans="1:4" x14ac:dyDescent="0.25">
      <c r="A970" s="42">
        <f t="shared" si="17"/>
        <v>969</v>
      </c>
      <c r="B970" s="42" cm="1">
        <f t="array" aca="1" ref="B970" ca="1">INDEX(Historical!$A$1:$A$18, RANDBETWEEN(1, COUNTA(Historical!$A$1:$A$18)))</f>
        <v>1.3617021276595744</v>
      </c>
      <c r="C970" s="42">
        <f ca="1">Inputs!$B$2/B970</f>
        <v>164.5</v>
      </c>
      <c r="D970" s="43">
        <f ca="1">WORKDAY(Inputs!$B$3, ROUND(C970, 0),Sheet2!$A$2:$A$21)</f>
        <v>46259</v>
      </c>
    </row>
    <row r="971" spans="1:4" x14ac:dyDescent="0.25">
      <c r="A971" s="42">
        <f t="shared" si="17"/>
        <v>970</v>
      </c>
      <c r="B971" s="42" cm="1">
        <f t="array" aca="1" ref="B971" ca="1">INDEX(Historical!$A$1:$A$18, RANDBETWEEN(1, COUNTA(Historical!$A$1:$A$18)))</f>
        <v>1.3617021276595744</v>
      </c>
      <c r="C971" s="42">
        <f ca="1">Inputs!$B$2/B971</f>
        <v>164.5</v>
      </c>
      <c r="D971" s="43">
        <f ca="1">WORKDAY(Inputs!$B$3, ROUND(C971, 0),Sheet2!$A$2:$A$21)</f>
        <v>46259</v>
      </c>
    </row>
    <row r="972" spans="1:4" x14ac:dyDescent="0.25">
      <c r="A972" s="42">
        <f t="shared" si="17"/>
        <v>971</v>
      </c>
      <c r="B972" s="42" cm="1">
        <f t="array" aca="1" ref="B972" ca="1">INDEX(Historical!$A$1:$A$18, RANDBETWEEN(1, COUNTA(Historical!$A$1:$A$18)))</f>
        <v>1.3559322033898304</v>
      </c>
      <c r="C972" s="42">
        <f ca="1">Inputs!$B$2/B972</f>
        <v>165.20000000000002</v>
      </c>
      <c r="D972" s="43">
        <f ca="1">WORKDAY(Inputs!$B$3, ROUND(C972, 0),Sheet2!$A$2:$A$21)</f>
        <v>46259</v>
      </c>
    </row>
    <row r="973" spans="1:4" x14ac:dyDescent="0.25">
      <c r="A973" s="42">
        <f t="shared" si="17"/>
        <v>972</v>
      </c>
      <c r="B973" s="42" cm="1">
        <f t="array" aca="1" ref="B973" ca="1">INDEX(Historical!$A$1:$A$18, RANDBETWEEN(1, COUNTA(Historical!$A$1:$A$18)))</f>
        <v>1.3692307692307693</v>
      </c>
      <c r="C973" s="42">
        <f ca="1">Inputs!$B$2/B973</f>
        <v>163.59550561797752</v>
      </c>
      <c r="D973" s="43">
        <f ca="1">WORKDAY(Inputs!$B$3, ROUND(C973, 0),Sheet2!$A$2:$A$21)</f>
        <v>46258</v>
      </c>
    </row>
    <row r="974" spans="1:4" x14ac:dyDescent="0.25">
      <c r="A974" s="42">
        <f t="shared" si="17"/>
        <v>973</v>
      </c>
      <c r="B974" s="42" cm="1">
        <f t="array" aca="1" ref="B974" ca="1">INDEX(Historical!$A$1:$A$18, RANDBETWEEN(1, COUNTA(Historical!$A$1:$A$18)))</f>
        <v>1.3157894736842106</v>
      </c>
      <c r="C974" s="42">
        <f ca="1">Inputs!$B$2/B974</f>
        <v>170.23999999999998</v>
      </c>
      <c r="D974" s="43">
        <f ca="1">WORKDAY(Inputs!$B$3, ROUND(C974, 0),Sheet2!$A$2:$A$21)</f>
        <v>46266</v>
      </c>
    </row>
    <row r="975" spans="1:4" x14ac:dyDescent="0.25">
      <c r="A975" s="42">
        <f t="shared" si="17"/>
        <v>974</v>
      </c>
      <c r="B975" s="42" cm="1">
        <f t="array" aca="1" ref="B975" ca="1">INDEX(Historical!$A$1:$A$18, RANDBETWEEN(1, COUNTA(Historical!$A$1:$A$18)))</f>
        <v>1.4038461538461537</v>
      </c>
      <c r="C975" s="42">
        <f ca="1">Inputs!$B$2/B975</f>
        <v>159.56164383561645</v>
      </c>
      <c r="D975" s="43">
        <f ca="1">WORKDAY(Inputs!$B$3, ROUND(C975, 0),Sheet2!$A$2:$A$21)</f>
        <v>46252</v>
      </c>
    </row>
    <row r="976" spans="1:4" x14ac:dyDescent="0.25">
      <c r="A976" s="42">
        <f t="shared" si="17"/>
        <v>975</v>
      </c>
      <c r="B976" s="42" cm="1">
        <f t="array" aca="1" ref="B976" ca="1">INDEX(Historical!$A$1:$A$18, RANDBETWEEN(1, COUNTA(Historical!$A$1:$A$18)))</f>
        <v>1.3559322033898304</v>
      </c>
      <c r="C976" s="42">
        <f ca="1">Inputs!$B$2/B976</f>
        <v>165.20000000000002</v>
      </c>
      <c r="D976" s="43">
        <f ca="1">WORKDAY(Inputs!$B$3, ROUND(C976, 0),Sheet2!$A$2:$A$21)</f>
        <v>46259</v>
      </c>
    </row>
    <row r="977" spans="1:4" x14ac:dyDescent="0.25">
      <c r="A977" s="42">
        <f t="shared" si="17"/>
        <v>976</v>
      </c>
      <c r="B977" s="42" cm="1">
        <f t="array" aca="1" ref="B977" ca="1">INDEX(Historical!$A$1:$A$18, RANDBETWEEN(1, COUNTA(Historical!$A$1:$A$18)))</f>
        <v>1.375</v>
      </c>
      <c r="C977" s="42">
        <f ca="1">Inputs!$B$2/B977</f>
        <v>162.90909090909091</v>
      </c>
      <c r="D977" s="43">
        <f ca="1">WORKDAY(Inputs!$B$3, ROUND(C977, 0),Sheet2!$A$2:$A$21)</f>
        <v>46255</v>
      </c>
    </row>
    <row r="978" spans="1:4" x14ac:dyDescent="0.25">
      <c r="A978" s="42">
        <f t="shared" si="17"/>
        <v>977</v>
      </c>
      <c r="B978" s="42" cm="1">
        <f t="array" aca="1" ref="B978" ca="1">INDEX(Historical!$A$1:$A$18, RANDBETWEEN(1, COUNTA(Historical!$A$1:$A$18)))</f>
        <v>1.5</v>
      </c>
      <c r="C978" s="42">
        <f ca="1">Inputs!$B$2/B978</f>
        <v>149.33333333333334</v>
      </c>
      <c r="D978" s="43">
        <f ca="1">WORKDAY(Inputs!$B$3, ROUND(C978, 0),Sheet2!$A$2:$A$21)</f>
        <v>46237</v>
      </c>
    </row>
    <row r="979" spans="1:4" x14ac:dyDescent="0.25">
      <c r="A979" s="42">
        <f t="shared" si="17"/>
        <v>978</v>
      </c>
      <c r="B979" s="42" cm="1">
        <f t="array" aca="1" ref="B979" ca="1">INDEX(Historical!$A$1:$A$18, RANDBETWEEN(1, COUNTA(Historical!$A$1:$A$18)))</f>
        <v>1.3611111111111112</v>
      </c>
      <c r="C979" s="42">
        <f ca="1">Inputs!$B$2/B979</f>
        <v>164.57142857142856</v>
      </c>
      <c r="D979" s="43">
        <f ca="1">WORKDAY(Inputs!$B$3, ROUND(C979, 0),Sheet2!$A$2:$A$21)</f>
        <v>46259</v>
      </c>
    </row>
    <row r="980" spans="1:4" x14ac:dyDescent="0.25">
      <c r="A980" s="42">
        <f t="shared" si="17"/>
        <v>979</v>
      </c>
      <c r="B980" s="42" cm="1">
        <f t="array" aca="1" ref="B980" ca="1">INDEX(Historical!$A$1:$A$18, RANDBETWEEN(1, COUNTA(Historical!$A$1:$A$18)))</f>
        <v>1.368421052631579</v>
      </c>
      <c r="C980" s="42">
        <f ca="1">Inputs!$B$2/B980</f>
        <v>163.69230769230768</v>
      </c>
      <c r="D980" s="43">
        <f ca="1">WORKDAY(Inputs!$B$3, ROUND(C980, 0),Sheet2!$A$2:$A$21)</f>
        <v>46258</v>
      </c>
    </row>
    <row r="981" spans="1:4" x14ac:dyDescent="0.25">
      <c r="A981" s="42">
        <f t="shared" si="17"/>
        <v>980</v>
      </c>
      <c r="B981" s="42" cm="1">
        <f t="array" aca="1" ref="B981" ca="1">INDEX(Historical!$A$1:$A$18, RANDBETWEEN(1, COUNTA(Historical!$A$1:$A$18)))</f>
        <v>1.3707865168539326</v>
      </c>
      <c r="C981" s="42">
        <f ca="1">Inputs!$B$2/B981</f>
        <v>163.40983606557376</v>
      </c>
      <c r="D981" s="43">
        <f ca="1">WORKDAY(Inputs!$B$3, ROUND(C981, 0),Sheet2!$A$2:$A$21)</f>
        <v>46255</v>
      </c>
    </row>
    <row r="982" spans="1:4" x14ac:dyDescent="0.25">
      <c r="A982" s="42">
        <f t="shared" si="17"/>
        <v>981</v>
      </c>
      <c r="B982" s="42" cm="1">
        <f t="array" aca="1" ref="B982" ca="1">INDEX(Historical!$A$1:$A$18, RANDBETWEEN(1, COUNTA(Historical!$A$1:$A$18)))</f>
        <v>1.3157894736842106</v>
      </c>
      <c r="C982" s="42">
        <f ca="1">Inputs!$B$2/B982</f>
        <v>170.23999999999998</v>
      </c>
      <c r="D982" s="43">
        <f ca="1">WORKDAY(Inputs!$B$3, ROUND(C982, 0),Sheet2!$A$2:$A$21)</f>
        <v>46266</v>
      </c>
    </row>
    <row r="983" spans="1:4" x14ac:dyDescent="0.25">
      <c r="A983" s="42">
        <f t="shared" si="17"/>
        <v>982</v>
      </c>
      <c r="B983" s="42" cm="1">
        <f t="array" aca="1" ref="B983" ca="1">INDEX(Historical!$A$1:$A$18, RANDBETWEEN(1, COUNTA(Historical!$A$1:$A$18)))</f>
        <v>1.4761904761904763</v>
      </c>
      <c r="C983" s="42">
        <f ca="1">Inputs!$B$2/B983</f>
        <v>151.74193548387095</v>
      </c>
      <c r="D983" s="43">
        <f ca="1">WORKDAY(Inputs!$B$3, ROUND(C983, 0),Sheet2!$A$2:$A$21)</f>
        <v>46240</v>
      </c>
    </row>
    <row r="984" spans="1:4" x14ac:dyDescent="0.25">
      <c r="A984" s="42">
        <f t="shared" si="17"/>
        <v>983</v>
      </c>
      <c r="B984" s="42" cm="1">
        <f t="array" aca="1" ref="B984" ca="1">INDEX(Historical!$A$1:$A$18, RANDBETWEEN(1, COUNTA(Historical!$A$1:$A$18)))</f>
        <v>1.4761904761904763</v>
      </c>
      <c r="C984" s="42">
        <f ca="1">Inputs!$B$2/B984</f>
        <v>151.74193548387095</v>
      </c>
      <c r="D984" s="43">
        <f ca="1">WORKDAY(Inputs!$B$3, ROUND(C984, 0),Sheet2!$A$2:$A$21)</f>
        <v>46240</v>
      </c>
    </row>
    <row r="985" spans="1:4" x14ac:dyDescent="0.25">
      <c r="A985" s="42">
        <f t="shared" si="17"/>
        <v>984</v>
      </c>
      <c r="B985" s="42" cm="1">
        <f t="array" aca="1" ref="B985" ca="1">INDEX(Historical!$A$1:$A$18, RANDBETWEEN(1, COUNTA(Historical!$A$1:$A$18)))</f>
        <v>1.3617021276595744</v>
      </c>
      <c r="C985" s="42">
        <f ca="1">Inputs!$B$2/B985</f>
        <v>164.5</v>
      </c>
      <c r="D985" s="43">
        <f ca="1">WORKDAY(Inputs!$B$3, ROUND(C985, 0),Sheet2!$A$2:$A$21)</f>
        <v>46259</v>
      </c>
    </row>
    <row r="986" spans="1:4" x14ac:dyDescent="0.25">
      <c r="A986" s="42">
        <f t="shared" si="17"/>
        <v>985</v>
      </c>
      <c r="B986" s="42" cm="1">
        <f t="array" aca="1" ref="B986" ca="1">INDEX(Historical!$A$1:$A$18, RANDBETWEEN(1, COUNTA(Historical!$A$1:$A$18)))</f>
        <v>1.5</v>
      </c>
      <c r="C986" s="42">
        <f ca="1">Inputs!$B$2/B986</f>
        <v>149.33333333333334</v>
      </c>
      <c r="D986" s="43">
        <f ca="1">WORKDAY(Inputs!$B$3, ROUND(C986, 0),Sheet2!$A$2:$A$21)</f>
        <v>46237</v>
      </c>
    </row>
    <row r="987" spans="1:4" x14ac:dyDescent="0.25">
      <c r="A987" s="42">
        <f t="shared" si="17"/>
        <v>986</v>
      </c>
      <c r="B987" s="42" cm="1">
        <f t="array" aca="1" ref="B987" ca="1">INDEX(Historical!$A$1:$A$18, RANDBETWEEN(1, COUNTA(Historical!$A$1:$A$18)))</f>
        <v>1.375</v>
      </c>
      <c r="C987" s="42">
        <f ca="1">Inputs!$B$2/B987</f>
        <v>162.90909090909091</v>
      </c>
      <c r="D987" s="43">
        <f ca="1">WORKDAY(Inputs!$B$3, ROUND(C987, 0),Sheet2!$A$2:$A$21)</f>
        <v>46255</v>
      </c>
    </row>
    <row r="988" spans="1:4" x14ac:dyDescent="0.25">
      <c r="A988" s="42">
        <f t="shared" si="17"/>
        <v>987</v>
      </c>
      <c r="B988" s="42" cm="1">
        <f t="array" aca="1" ref="B988" ca="1">INDEX(Historical!$A$1:$A$18, RANDBETWEEN(1, COUNTA(Historical!$A$1:$A$18)))</f>
        <v>1.3692307692307693</v>
      </c>
      <c r="C988" s="42">
        <f ca="1">Inputs!$B$2/B988</f>
        <v>163.59550561797752</v>
      </c>
      <c r="D988" s="43">
        <f ca="1">WORKDAY(Inputs!$B$3, ROUND(C988, 0),Sheet2!$A$2:$A$21)</f>
        <v>46258</v>
      </c>
    </row>
    <row r="989" spans="1:4" x14ac:dyDescent="0.25">
      <c r="A989" s="42">
        <f t="shared" si="17"/>
        <v>988</v>
      </c>
      <c r="B989" s="42" cm="1">
        <f t="array" aca="1" ref="B989" ca="1">INDEX(Historical!$A$1:$A$18, RANDBETWEEN(1, COUNTA(Historical!$A$1:$A$18)))</f>
        <v>1.1666666666666667</v>
      </c>
      <c r="C989" s="42">
        <f ca="1">Inputs!$B$2/B989</f>
        <v>192</v>
      </c>
      <c r="D989" s="43">
        <f ca="1">WORKDAY(Inputs!$B$3, ROUND(C989, 0),Sheet2!$A$2:$A$21)</f>
        <v>46297</v>
      </c>
    </row>
    <row r="990" spans="1:4" x14ac:dyDescent="0.25">
      <c r="A990" s="42">
        <f t="shared" si="17"/>
        <v>989</v>
      </c>
      <c r="B990" s="42" cm="1">
        <f t="array" aca="1" ref="B990" ca="1">INDEX(Historical!$A$1:$A$18, RANDBETWEEN(1, COUNTA(Historical!$A$1:$A$18)))</f>
        <v>1.375</v>
      </c>
      <c r="C990" s="42">
        <f ca="1">Inputs!$B$2/B990</f>
        <v>162.90909090909091</v>
      </c>
      <c r="D990" s="43">
        <f ca="1">WORKDAY(Inputs!$B$3, ROUND(C990, 0),Sheet2!$A$2:$A$21)</f>
        <v>46255</v>
      </c>
    </row>
    <row r="991" spans="1:4" x14ac:dyDescent="0.25">
      <c r="A991" s="42">
        <f t="shared" si="17"/>
        <v>990</v>
      </c>
      <c r="B991" s="42" cm="1">
        <f t="array" aca="1" ref="B991" ca="1">INDEX(Historical!$A$1:$A$18, RANDBETWEEN(1, COUNTA(Historical!$A$1:$A$18)))</f>
        <v>1.2941176470588236</v>
      </c>
      <c r="C991" s="42">
        <f ca="1">Inputs!$B$2/B991</f>
        <v>173.09090909090909</v>
      </c>
      <c r="D991" s="43">
        <f ca="1">WORKDAY(Inputs!$B$3, ROUND(C991, 0),Sheet2!$A$2:$A$21)</f>
        <v>46269</v>
      </c>
    </row>
    <row r="992" spans="1:4" x14ac:dyDescent="0.25">
      <c r="A992" s="42">
        <f t="shared" si="17"/>
        <v>991</v>
      </c>
      <c r="B992" s="42" cm="1">
        <f t="array" aca="1" ref="B992" ca="1">INDEX(Historical!$A$1:$A$18, RANDBETWEEN(1, COUNTA(Historical!$A$1:$A$18)))</f>
        <v>1.1666666666666667</v>
      </c>
      <c r="C992" s="42">
        <f ca="1">Inputs!$B$2/B992</f>
        <v>192</v>
      </c>
      <c r="D992" s="43">
        <f ca="1">WORKDAY(Inputs!$B$3, ROUND(C992, 0),Sheet2!$A$2:$A$21)</f>
        <v>46297</v>
      </c>
    </row>
    <row r="993" spans="1:4" x14ac:dyDescent="0.25">
      <c r="A993" s="42">
        <f t="shared" si="17"/>
        <v>992</v>
      </c>
      <c r="B993" s="42" cm="1">
        <f t="array" aca="1" ref="B993" ca="1">INDEX(Historical!$A$1:$A$18, RANDBETWEEN(1, COUNTA(Historical!$A$1:$A$18)))</f>
        <v>1.3157894736842106</v>
      </c>
      <c r="C993" s="42">
        <f ca="1">Inputs!$B$2/B993</f>
        <v>170.23999999999998</v>
      </c>
      <c r="D993" s="43">
        <f ca="1">WORKDAY(Inputs!$B$3, ROUND(C993, 0),Sheet2!$A$2:$A$21)</f>
        <v>46266</v>
      </c>
    </row>
    <row r="994" spans="1:4" x14ac:dyDescent="0.25">
      <c r="A994" s="42">
        <f t="shared" si="17"/>
        <v>993</v>
      </c>
      <c r="B994" s="42" cm="1">
        <f t="array" aca="1" ref="B994" ca="1">INDEX(Historical!$A$1:$A$18, RANDBETWEEN(1, COUNTA(Historical!$A$1:$A$18)))</f>
        <v>1.3214285714285714</v>
      </c>
      <c r="C994" s="42">
        <f ca="1">Inputs!$B$2/B994</f>
        <v>169.51351351351352</v>
      </c>
      <c r="D994" s="43">
        <f ca="1">WORKDAY(Inputs!$B$3, ROUND(C994, 0),Sheet2!$A$2:$A$21)</f>
        <v>46266</v>
      </c>
    </row>
    <row r="995" spans="1:4" x14ac:dyDescent="0.25">
      <c r="A995" s="42">
        <f t="shared" si="17"/>
        <v>994</v>
      </c>
      <c r="B995" s="42" cm="1">
        <f t="array" aca="1" ref="B995" ca="1">INDEX(Historical!$A$1:$A$18, RANDBETWEEN(1, COUNTA(Historical!$A$1:$A$18)))</f>
        <v>1.3214285714285714</v>
      </c>
      <c r="C995" s="42">
        <f ca="1">Inputs!$B$2/B995</f>
        <v>169.51351351351352</v>
      </c>
      <c r="D995" s="43">
        <f ca="1">WORKDAY(Inputs!$B$3, ROUND(C995, 0),Sheet2!$A$2:$A$21)</f>
        <v>46266</v>
      </c>
    </row>
    <row r="996" spans="1:4" x14ac:dyDescent="0.25">
      <c r="A996" s="42">
        <f t="shared" si="17"/>
        <v>995</v>
      </c>
      <c r="B996" s="42" cm="1">
        <f t="array" aca="1" ref="B996" ca="1">INDEX(Historical!$A$1:$A$18, RANDBETWEEN(1, COUNTA(Historical!$A$1:$A$18)))</f>
        <v>1.4038461538461537</v>
      </c>
      <c r="C996" s="42">
        <f ca="1">Inputs!$B$2/B996</f>
        <v>159.56164383561645</v>
      </c>
      <c r="D996" s="43">
        <f ca="1">WORKDAY(Inputs!$B$3, ROUND(C996, 0),Sheet2!$A$2:$A$21)</f>
        <v>46252</v>
      </c>
    </row>
    <row r="997" spans="1:4" x14ac:dyDescent="0.25">
      <c r="A997" s="42">
        <f t="shared" si="17"/>
        <v>996</v>
      </c>
      <c r="B997" s="42" cm="1">
        <f t="array" aca="1" ref="B997" ca="1">INDEX(Historical!$A$1:$A$18, RANDBETWEEN(1, COUNTA(Historical!$A$1:$A$18)))</f>
        <v>1.4761904761904763</v>
      </c>
      <c r="C997" s="42">
        <f ca="1">Inputs!$B$2/B997</f>
        <v>151.74193548387095</v>
      </c>
      <c r="D997" s="43">
        <f ca="1">WORKDAY(Inputs!$B$3, ROUND(C997, 0),Sheet2!$A$2:$A$21)</f>
        <v>46240</v>
      </c>
    </row>
    <row r="998" spans="1:4" x14ac:dyDescent="0.25">
      <c r="A998" s="42">
        <f t="shared" si="17"/>
        <v>997</v>
      </c>
      <c r="B998" s="42" cm="1">
        <f t="array" aca="1" ref="B998" ca="1">INDEX(Historical!$A$1:$A$18, RANDBETWEEN(1, COUNTA(Historical!$A$1:$A$18)))</f>
        <v>1.3617021276595744</v>
      </c>
      <c r="C998" s="42">
        <f ca="1">Inputs!$B$2/B998</f>
        <v>164.5</v>
      </c>
      <c r="D998" s="43">
        <f ca="1">WORKDAY(Inputs!$B$3, ROUND(C998, 0),Sheet2!$A$2:$A$21)</f>
        <v>46259</v>
      </c>
    </row>
    <row r="999" spans="1:4" x14ac:dyDescent="0.25">
      <c r="A999" s="42">
        <f t="shared" si="17"/>
        <v>998</v>
      </c>
      <c r="B999" s="42" cm="1">
        <f t="array" aca="1" ref="B999" ca="1">INDEX(Historical!$A$1:$A$18, RANDBETWEEN(1, COUNTA(Historical!$A$1:$A$18)))</f>
        <v>1.3617021276595744</v>
      </c>
      <c r="C999" s="42">
        <f ca="1">Inputs!$B$2/B999</f>
        <v>164.5</v>
      </c>
      <c r="D999" s="43">
        <f ca="1">WORKDAY(Inputs!$B$3, ROUND(C999, 0),Sheet2!$A$2:$A$21)</f>
        <v>46259</v>
      </c>
    </row>
    <row r="1000" spans="1:4" x14ac:dyDescent="0.25">
      <c r="A1000" s="42">
        <f t="shared" si="17"/>
        <v>999</v>
      </c>
      <c r="B1000" s="42" cm="1">
        <f t="array" aca="1" ref="B1000" ca="1">INDEX(Historical!$A$1:$A$18, RANDBETWEEN(1, COUNTA(Historical!$A$1:$A$18)))</f>
        <v>1.290909090909091</v>
      </c>
      <c r="C1000" s="42">
        <f ca="1">Inputs!$B$2/B1000</f>
        <v>173.52112676056336</v>
      </c>
      <c r="D1000" s="43">
        <f ca="1">WORKDAY(Inputs!$B$3, ROUND(C1000, 0),Sheet2!$A$2:$A$21)</f>
        <v>46273</v>
      </c>
    </row>
    <row r="1001" spans="1:4" x14ac:dyDescent="0.25">
      <c r="A1001" s="42">
        <f t="shared" si="17"/>
        <v>1000</v>
      </c>
      <c r="B1001" s="42" cm="1">
        <f t="array" aca="1" ref="B1001" ca="1">INDEX(Historical!$A$1:$A$18, RANDBETWEEN(1, COUNTA(Historical!$A$1:$A$18)))</f>
        <v>1.4038461538461537</v>
      </c>
      <c r="C1001" s="42">
        <f ca="1">Inputs!$B$2/B1001</f>
        <v>159.56164383561645</v>
      </c>
      <c r="D1001" s="43">
        <f ca="1">WORKDAY(Inputs!$B$3, ROUND(C1001, 0),Sheet2!$A$2:$A$21)</f>
        <v>46252</v>
      </c>
    </row>
    <row r="1002" spans="1:4" x14ac:dyDescent="0.25">
      <c r="A1002" s="42">
        <f t="shared" si="17"/>
        <v>1001</v>
      </c>
      <c r="B1002" s="42" cm="1">
        <f t="array" aca="1" ref="B1002" ca="1">INDEX(Historical!$A$1:$A$18, RANDBETWEEN(1, COUNTA(Historical!$A$1:$A$18)))</f>
        <v>1.290909090909091</v>
      </c>
      <c r="C1002" s="42">
        <f ca="1">Inputs!$B$2/B1002</f>
        <v>173.52112676056336</v>
      </c>
      <c r="D1002" s="43">
        <f ca="1">WORKDAY(Inputs!$B$3, ROUND(C1002, 0),Sheet2!$A$2:$A$21)</f>
        <v>46273</v>
      </c>
    </row>
    <row r="1003" spans="1:4" x14ac:dyDescent="0.25">
      <c r="A1003" s="42">
        <f t="shared" si="17"/>
        <v>1002</v>
      </c>
      <c r="B1003" s="42" cm="1">
        <f t="array" aca="1" ref="B1003" ca="1">INDEX(Historical!$A$1:$A$18, RANDBETWEEN(1, COUNTA(Historical!$A$1:$A$18)))</f>
        <v>1.3707865168539326</v>
      </c>
      <c r="C1003" s="42">
        <f ca="1">Inputs!$B$2/B1003</f>
        <v>163.40983606557376</v>
      </c>
      <c r="D1003" s="43">
        <f ca="1">WORKDAY(Inputs!$B$3, ROUND(C1003, 0),Sheet2!$A$2:$A$21)</f>
        <v>46255</v>
      </c>
    </row>
    <row r="1004" spans="1:4" x14ac:dyDescent="0.25">
      <c r="A1004" s="42">
        <f t="shared" si="17"/>
        <v>1003</v>
      </c>
      <c r="B1004" s="42" cm="1">
        <f t="array" aca="1" ref="B1004" ca="1">INDEX(Historical!$A$1:$A$18, RANDBETWEEN(1, COUNTA(Historical!$A$1:$A$18)))</f>
        <v>1.3157894736842106</v>
      </c>
      <c r="C1004" s="42">
        <f ca="1">Inputs!$B$2/B1004</f>
        <v>170.23999999999998</v>
      </c>
      <c r="D1004" s="43">
        <f ca="1">WORKDAY(Inputs!$B$3, ROUND(C1004, 0),Sheet2!$A$2:$A$21)</f>
        <v>46266</v>
      </c>
    </row>
    <row r="1005" spans="1:4" x14ac:dyDescent="0.25">
      <c r="A1005" s="42">
        <f t="shared" si="17"/>
        <v>1004</v>
      </c>
      <c r="B1005" s="42" cm="1">
        <f t="array" aca="1" ref="B1005" ca="1">INDEX(Historical!$A$1:$A$18, RANDBETWEEN(1, COUNTA(Historical!$A$1:$A$18)))</f>
        <v>1.303030303030303</v>
      </c>
      <c r="C1005" s="42">
        <f ca="1">Inputs!$B$2/B1005</f>
        <v>171.90697674418604</v>
      </c>
      <c r="D1005" s="43">
        <f ca="1">WORKDAY(Inputs!$B$3, ROUND(C1005, 0),Sheet2!$A$2:$A$21)</f>
        <v>46268</v>
      </c>
    </row>
    <row r="1006" spans="1:4" x14ac:dyDescent="0.25">
      <c r="A1006" s="42">
        <f t="shared" si="17"/>
        <v>1005</v>
      </c>
      <c r="B1006" s="42" cm="1">
        <f t="array" aca="1" ref="B1006" ca="1">INDEX(Historical!$A$1:$A$18, RANDBETWEEN(1, COUNTA(Historical!$A$1:$A$18)))</f>
        <v>1.3692307692307693</v>
      </c>
      <c r="C1006" s="42">
        <f ca="1">Inputs!$B$2/B1006</f>
        <v>163.59550561797752</v>
      </c>
      <c r="D1006" s="43">
        <f ca="1">WORKDAY(Inputs!$B$3, ROUND(C1006, 0),Sheet2!$A$2:$A$21)</f>
        <v>46258</v>
      </c>
    </row>
    <row r="1007" spans="1:4" x14ac:dyDescent="0.25">
      <c r="A1007" s="42">
        <f t="shared" si="17"/>
        <v>1006</v>
      </c>
      <c r="B1007" s="42" cm="1">
        <f t="array" aca="1" ref="B1007" ca="1">INDEX(Historical!$A$1:$A$18, RANDBETWEEN(1, COUNTA(Historical!$A$1:$A$18)))</f>
        <v>1.4347826086956521</v>
      </c>
      <c r="C1007" s="42">
        <f ca="1">Inputs!$B$2/B1007</f>
        <v>156.12121212121212</v>
      </c>
      <c r="D1007" s="43">
        <f ca="1">WORKDAY(Inputs!$B$3, ROUND(C1007, 0),Sheet2!$A$2:$A$21)</f>
        <v>46246</v>
      </c>
    </row>
    <row r="1008" spans="1:4" x14ac:dyDescent="0.25">
      <c r="A1008" s="42">
        <f t="shared" si="17"/>
        <v>1007</v>
      </c>
      <c r="B1008" s="42" cm="1">
        <f t="array" aca="1" ref="B1008" ca="1">INDEX(Historical!$A$1:$A$18, RANDBETWEEN(1, COUNTA(Historical!$A$1:$A$18)))</f>
        <v>1.3214285714285714</v>
      </c>
      <c r="C1008" s="42">
        <f ca="1">Inputs!$B$2/B1008</f>
        <v>169.51351351351352</v>
      </c>
      <c r="D1008" s="43">
        <f ca="1">WORKDAY(Inputs!$B$3, ROUND(C1008, 0),Sheet2!$A$2:$A$21)</f>
        <v>46266</v>
      </c>
    </row>
    <row r="1009" spans="1:4" x14ac:dyDescent="0.25">
      <c r="A1009" s="42">
        <f t="shared" si="17"/>
        <v>1008</v>
      </c>
      <c r="B1009" s="42" cm="1">
        <f t="array" aca="1" ref="B1009" ca="1">INDEX(Historical!$A$1:$A$18, RANDBETWEEN(1, COUNTA(Historical!$A$1:$A$18)))</f>
        <v>1.3214285714285714</v>
      </c>
      <c r="C1009" s="42">
        <f ca="1">Inputs!$B$2/B1009</f>
        <v>169.51351351351352</v>
      </c>
      <c r="D1009" s="43">
        <f ca="1">WORKDAY(Inputs!$B$3, ROUND(C1009, 0),Sheet2!$A$2:$A$21)</f>
        <v>46266</v>
      </c>
    </row>
    <row r="1010" spans="1:4" x14ac:dyDescent="0.25">
      <c r="A1010" s="42">
        <f t="shared" si="17"/>
        <v>1009</v>
      </c>
      <c r="B1010" s="42" cm="1">
        <f t="array" aca="1" ref="B1010" ca="1">INDEX(Historical!$A$1:$A$18, RANDBETWEEN(1, COUNTA(Historical!$A$1:$A$18)))</f>
        <v>1.290909090909091</v>
      </c>
      <c r="C1010" s="42">
        <f ca="1">Inputs!$B$2/B1010</f>
        <v>173.52112676056336</v>
      </c>
      <c r="D1010" s="43">
        <f ca="1">WORKDAY(Inputs!$B$3, ROUND(C1010, 0),Sheet2!$A$2:$A$21)</f>
        <v>46273</v>
      </c>
    </row>
    <row r="1011" spans="1:4" x14ac:dyDescent="0.25">
      <c r="A1011" s="42">
        <f t="shared" si="17"/>
        <v>1010</v>
      </c>
      <c r="B1011" s="42" cm="1">
        <f t="array" aca="1" ref="B1011" ca="1">INDEX(Historical!$A$1:$A$18, RANDBETWEEN(1, COUNTA(Historical!$A$1:$A$18)))</f>
        <v>1.4137931034482758</v>
      </c>
      <c r="C1011" s="42">
        <f ca="1">Inputs!$B$2/B1011</f>
        <v>158.4390243902439</v>
      </c>
      <c r="D1011" s="43">
        <f ca="1">WORKDAY(Inputs!$B$3, ROUND(C1011, 0),Sheet2!$A$2:$A$21)</f>
        <v>46248</v>
      </c>
    </row>
    <row r="1012" spans="1:4" x14ac:dyDescent="0.25">
      <c r="A1012" s="42">
        <f t="shared" si="17"/>
        <v>1011</v>
      </c>
      <c r="B1012" s="42" cm="1">
        <f t="array" aca="1" ref="B1012" ca="1">INDEX(Historical!$A$1:$A$18, RANDBETWEEN(1, COUNTA(Historical!$A$1:$A$18)))</f>
        <v>1.368421052631579</v>
      </c>
      <c r="C1012" s="42">
        <f ca="1">Inputs!$B$2/B1012</f>
        <v>163.69230769230768</v>
      </c>
      <c r="D1012" s="43">
        <f ca="1">WORKDAY(Inputs!$B$3, ROUND(C1012, 0),Sheet2!$A$2:$A$21)</f>
        <v>46258</v>
      </c>
    </row>
    <row r="1013" spans="1:4" x14ac:dyDescent="0.25">
      <c r="A1013" s="42">
        <f t="shared" si="17"/>
        <v>1012</v>
      </c>
      <c r="B1013" s="42" cm="1">
        <f t="array" aca="1" ref="B1013" ca="1">INDEX(Historical!$A$1:$A$18, RANDBETWEEN(1, COUNTA(Historical!$A$1:$A$18)))</f>
        <v>1.375</v>
      </c>
      <c r="C1013" s="42">
        <f ca="1">Inputs!$B$2/B1013</f>
        <v>162.90909090909091</v>
      </c>
      <c r="D1013" s="43">
        <f ca="1">WORKDAY(Inputs!$B$3, ROUND(C1013, 0),Sheet2!$A$2:$A$21)</f>
        <v>46255</v>
      </c>
    </row>
    <row r="1014" spans="1:4" x14ac:dyDescent="0.25">
      <c r="A1014" s="42">
        <f t="shared" si="17"/>
        <v>1013</v>
      </c>
      <c r="B1014" s="42" cm="1">
        <f t="array" aca="1" ref="B1014" ca="1">INDEX(Historical!$A$1:$A$18, RANDBETWEEN(1, COUNTA(Historical!$A$1:$A$18)))</f>
        <v>1.4761904761904763</v>
      </c>
      <c r="C1014" s="42">
        <f ca="1">Inputs!$B$2/B1014</f>
        <v>151.74193548387095</v>
      </c>
      <c r="D1014" s="43">
        <f ca="1">WORKDAY(Inputs!$B$3, ROUND(C1014, 0),Sheet2!$A$2:$A$21)</f>
        <v>46240</v>
      </c>
    </row>
    <row r="1015" spans="1:4" x14ac:dyDescent="0.25">
      <c r="A1015" s="42">
        <f t="shared" si="17"/>
        <v>1014</v>
      </c>
      <c r="B1015" s="42" cm="1">
        <f t="array" aca="1" ref="B1015" ca="1">INDEX(Historical!$A$1:$A$18, RANDBETWEEN(1, COUNTA(Historical!$A$1:$A$18)))</f>
        <v>1.4038461538461537</v>
      </c>
      <c r="C1015" s="42">
        <f ca="1">Inputs!$B$2/B1015</f>
        <v>159.56164383561645</v>
      </c>
      <c r="D1015" s="43">
        <f ca="1">WORKDAY(Inputs!$B$3, ROUND(C1015, 0),Sheet2!$A$2:$A$21)</f>
        <v>46252</v>
      </c>
    </row>
    <row r="1016" spans="1:4" x14ac:dyDescent="0.25">
      <c r="A1016" s="42">
        <f t="shared" si="17"/>
        <v>1015</v>
      </c>
      <c r="B1016" s="42" cm="1">
        <f t="array" aca="1" ref="B1016" ca="1">INDEX(Historical!$A$1:$A$18, RANDBETWEEN(1, COUNTA(Historical!$A$1:$A$18)))</f>
        <v>1.4761904761904763</v>
      </c>
      <c r="C1016" s="42">
        <f ca="1">Inputs!$B$2/B1016</f>
        <v>151.74193548387095</v>
      </c>
      <c r="D1016" s="43">
        <f ca="1">WORKDAY(Inputs!$B$3, ROUND(C1016, 0),Sheet2!$A$2:$A$21)</f>
        <v>46240</v>
      </c>
    </row>
    <row r="1017" spans="1:4" x14ac:dyDescent="0.25">
      <c r="A1017" s="42">
        <f t="shared" si="17"/>
        <v>1016</v>
      </c>
      <c r="B1017" s="42" cm="1">
        <f t="array" aca="1" ref="B1017" ca="1">INDEX(Historical!$A$1:$A$18, RANDBETWEEN(1, COUNTA(Historical!$A$1:$A$18)))</f>
        <v>1.3692307692307693</v>
      </c>
      <c r="C1017" s="42">
        <f ca="1">Inputs!$B$2/B1017</f>
        <v>163.59550561797752</v>
      </c>
      <c r="D1017" s="43">
        <f ca="1">WORKDAY(Inputs!$B$3, ROUND(C1017, 0),Sheet2!$A$2:$A$21)</f>
        <v>46258</v>
      </c>
    </row>
    <row r="1018" spans="1:4" x14ac:dyDescent="0.25">
      <c r="A1018" s="42">
        <f t="shared" si="17"/>
        <v>1017</v>
      </c>
      <c r="B1018" s="42" cm="1">
        <f t="array" aca="1" ref="B1018" ca="1">INDEX(Historical!$A$1:$A$18, RANDBETWEEN(1, COUNTA(Historical!$A$1:$A$18)))</f>
        <v>1.290909090909091</v>
      </c>
      <c r="C1018" s="42">
        <f ca="1">Inputs!$B$2/B1018</f>
        <v>173.52112676056336</v>
      </c>
      <c r="D1018" s="43">
        <f ca="1">WORKDAY(Inputs!$B$3, ROUND(C1018, 0),Sheet2!$A$2:$A$21)</f>
        <v>46273</v>
      </c>
    </row>
    <row r="1019" spans="1:4" x14ac:dyDescent="0.25">
      <c r="A1019" s="42">
        <f t="shared" si="17"/>
        <v>1018</v>
      </c>
      <c r="B1019" s="42" cm="1">
        <f t="array" aca="1" ref="B1019" ca="1">INDEX(Historical!$A$1:$A$18, RANDBETWEEN(1, COUNTA(Historical!$A$1:$A$18)))</f>
        <v>1.3707865168539326</v>
      </c>
      <c r="C1019" s="42">
        <f ca="1">Inputs!$B$2/B1019</f>
        <v>163.40983606557376</v>
      </c>
      <c r="D1019" s="43">
        <f ca="1">WORKDAY(Inputs!$B$3, ROUND(C1019, 0),Sheet2!$A$2:$A$21)</f>
        <v>46255</v>
      </c>
    </row>
    <row r="1020" spans="1:4" x14ac:dyDescent="0.25">
      <c r="A1020" s="42">
        <f t="shared" si="17"/>
        <v>1019</v>
      </c>
      <c r="B1020" s="42" cm="1">
        <f t="array" aca="1" ref="B1020" ca="1">INDEX(Historical!$A$1:$A$18, RANDBETWEEN(1, COUNTA(Historical!$A$1:$A$18)))</f>
        <v>1.1666666666666667</v>
      </c>
      <c r="C1020" s="42">
        <f ca="1">Inputs!$B$2/B1020</f>
        <v>192</v>
      </c>
      <c r="D1020" s="43">
        <f ca="1">WORKDAY(Inputs!$B$3, ROUND(C1020, 0),Sheet2!$A$2:$A$21)</f>
        <v>46297</v>
      </c>
    </row>
    <row r="1021" spans="1:4" x14ac:dyDescent="0.25">
      <c r="A1021" s="42">
        <f t="shared" si="17"/>
        <v>1020</v>
      </c>
      <c r="B1021" s="42" cm="1">
        <f t="array" aca="1" ref="B1021" ca="1">INDEX(Historical!$A$1:$A$18, RANDBETWEEN(1, COUNTA(Historical!$A$1:$A$18)))</f>
        <v>1.303030303030303</v>
      </c>
      <c r="C1021" s="42">
        <f ca="1">Inputs!$B$2/B1021</f>
        <v>171.90697674418604</v>
      </c>
      <c r="D1021" s="43">
        <f ca="1">WORKDAY(Inputs!$B$3, ROUND(C1021, 0),Sheet2!$A$2:$A$21)</f>
        <v>46268</v>
      </c>
    </row>
    <row r="1022" spans="1:4" x14ac:dyDescent="0.25">
      <c r="A1022" s="42">
        <f t="shared" si="17"/>
        <v>1021</v>
      </c>
      <c r="B1022" s="42" cm="1">
        <f t="array" aca="1" ref="B1022" ca="1">INDEX(Historical!$A$1:$A$18, RANDBETWEEN(1, COUNTA(Historical!$A$1:$A$18)))</f>
        <v>1.375</v>
      </c>
      <c r="C1022" s="42">
        <f ca="1">Inputs!$B$2/B1022</f>
        <v>162.90909090909091</v>
      </c>
      <c r="D1022" s="43">
        <f ca="1">WORKDAY(Inputs!$B$3, ROUND(C1022, 0),Sheet2!$A$2:$A$21)</f>
        <v>46255</v>
      </c>
    </row>
    <row r="1023" spans="1:4" x14ac:dyDescent="0.25">
      <c r="A1023" s="42">
        <f t="shared" si="17"/>
        <v>1022</v>
      </c>
      <c r="B1023" s="42" cm="1">
        <f t="array" aca="1" ref="B1023" ca="1">INDEX(Historical!$A$1:$A$18, RANDBETWEEN(1, COUNTA(Historical!$A$1:$A$18)))</f>
        <v>1.3611111111111112</v>
      </c>
      <c r="C1023" s="42">
        <f ca="1">Inputs!$B$2/B1023</f>
        <v>164.57142857142856</v>
      </c>
      <c r="D1023" s="43">
        <f ca="1">WORKDAY(Inputs!$B$3, ROUND(C1023, 0),Sheet2!$A$2:$A$21)</f>
        <v>46259</v>
      </c>
    </row>
    <row r="1024" spans="1:4" x14ac:dyDescent="0.25">
      <c r="A1024" s="42">
        <f t="shared" si="17"/>
        <v>1023</v>
      </c>
      <c r="B1024" s="42" cm="1">
        <f t="array" aca="1" ref="B1024" ca="1">INDEX(Historical!$A$1:$A$18, RANDBETWEEN(1, COUNTA(Historical!$A$1:$A$18)))</f>
        <v>1.4038461538461537</v>
      </c>
      <c r="C1024" s="42">
        <f ca="1">Inputs!$B$2/B1024</f>
        <v>159.56164383561645</v>
      </c>
      <c r="D1024" s="43">
        <f ca="1">WORKDAY(Inputs!$B$3, ROUND(C1024, 0),Sheet2!$A$2:$A$21)</f>
        <v>46252</v>
      </c>
    </row>
    <row r="1025" spans="1:4" x14ac:dyDescent="0.25">
      <c r="A1025" s="42">
        <f t="shared" si="17"/>
        <v>1024</v>
      </c>
      <c r="B1025" s="42" cm="1">
        <f t="array" aca="1" ref="B1025" ca="1">INDEX(Historical!$A$1:$A$18, RANDBETWEEN(1, COUNTA(Historical!$A$1:$A$18)))</f>
        <v>1.3559322033898304</v>
      </c>
      <c r="C1025" s="42">
        <f ca="1">Inputs!$B$2/B1025</f>
        <v>165.20000000000002</v>
      </c>
      <c r="D1025" s="43">
        <f ca="1">WORKDAY(Inputs!$B$3, ROUND(C1025, 0),Sheet2!$A$2:$A$21)</f>
        <v>46259</v>
      </c>
    </row>
    <row r="1026" spans="1:4" x14ac:dyDescent="0.25">
      <c r="A1026" s="42">
        <f t="shared" si="17"/>
        <v>1025</v>
      </c>
      <c r="B1026" s="42" cm="1">
        <f t="array" aca="1" ref="B1026" ca="1">INDEX(Historical!$A$1:$A$18, RANDBETWEEN(1, COUNTA(Historical!$A$1:$A$18)))</f>
        <v>1.375</v>
      </c>
      <c r="C1026" s="42">
        <f ca="1">Inputs!$B$2/B1026</f>
        <v>162.90909090909091</v>
      </c>
      <c r="D1026" s="43">
        <f ca="1">WORKDAY(Inputs!$B$3, ROUND(C1026, 0),Sheet2!$A$2:$A$21)</f>
        <v>46255</v>
      </c>
    </row>
    <row r="1027" spans="1:4" x14ac:dyDescent="0.25">
      <c r="A1027" s="42">
        <f t="shared" ref="A1027:A1090" si="18">ROW()-1</f>
        <v>1026</v>
      </c>
      <c r="B1027" s="42" cm="1">
        <f t="array" aca="1" ref="B1027" ca="1">INDEX(Historical!$A$1:$A$18, RANDBETWEEN(1, COUNTA(Historical!$A$1:$A$18)))</f>
        <v>1.3559322033898304</v>
      </c>
      <c r="C1027" s="42">
        <f ca="1">Inputs!$B$2/B1027</f>
        <v>165.20000000000002</v>
      </c>
      <c r="D1027" s="43">
        <f ca="1">WORKDAY(Inputs!$B$3, ROUND(C1027, 0),Sheet2!$A$2:$A$21)</f>
        <v>46259</v>
      </c>
    </row>
    <row r="1028" spans="1:4" x14ac:dyDescent="0.25">
      <c r="A1028" s="42">
        <f t="shared" si="18"/>
        <v>1027</v>
      </c>
      <c r="B1028" s="42" cm="1">
        <f t="array" aca="1" ref="B1028" ca="1">INDEX(Historical!$A$1:$A$18, RANDBETWEEN(1, COUNTA(Historical!$A$1:$A$18)))</f>
        <v>1.290909090909091</v>
      </c>
      <c r="C1028" s="42">
        <f ca="1">Inputs!$B$2/B1028</f>
        <v>173.52112676056336</v>
      </c>
      <c r="D1028" s="43">
        <f ca="1">WORKDAY(Inputs!$B$3, ROUND(C1028, 0),Sheet2!$A$2:$A$21)</f>
        <v>46273</v>
      </c>
    </row>
    <row r="1029" spans="1:4" x14ac:dyDescent="0.25">
      <c r="A1029" s="42">
        <f t="shared" si="18"/>
        <v>1028</v>
      </c>
      <c r="B1029" s="42" cm="1">
        <f t="array" aca="1" ref="B1029" ca="1">INDEX(Historical!$A$1:$A$18, RANDBETWEEN(1, COUNTA(Historical!$A$1:$A$18)))</f>
        <v>1.3611111111111112</v>
      </c>
      <c r="C1029" s="42">
        <f ca="1">Inputs!$B$2/B1029</f>
        <v>164.57142857142856</v>
      </c>
      <c r="D1029" s="43">
        <f ca="1">WORKDAY(Inputs!$B$3, ROUND(C1029, 0),Sheet2!$A$2:$A$21)</f>
        <v>46259</v>
      </c>
    </row>
    <row r="1030" spans="1:4" x14ac:dyDescent="0.25">
      <c r="A1030" s="42">
        <f t="shared" si="18"/>
        <v>1029</v>
      </c>
      <c r="B1030" s="42" cm="1">
        <f t="array" aca="1" ref="B1030" ca="1">INDEX(Historical!$A$1:$A$18, RANDBETWEEN(1, COUNTA(Historical!$A$1:$A$18)))</f>
        <v>1.5</v>
      </c>
      <c r="C1030" s="42">
        <f ca="1">Inputs!$B$2/B1030</f>
        <v>149.33333333333334</v>
      </c>
      <c r="D1030" s="43">
        <f ca="1">WORKDAY(Inputs!$B$3, ROUND(C1030, 0),Sheet2!$A$2:$A$21)</f>
        <v>46237</v>
      </c>
    </row>
    <row r="1031" spans="1:4" x14ac:dyDescent="0.25">
      <c r="A1031" s="42">
        <f t="shared" si="18"/>
        <v>1030</v>
      </c>
      <c r="B1031" s="42" cm="1">
        <f t="array" aca="1" ref="B1031" ca="1">INDEX(Historical!$A$1:$A$18, RANDBETWEEN(1, COUNTA(Historical!$A$1:$A$18)))</f>
        <v>1.3214285714285714</v>
      </c>
      <c r="C1031" s="42">
        <f ca="1">Inputs!$B$2/B1031</f>
        <v>169.51351351351352</v>
      </c>
      <c r="D1031" s="43">
        <f ca="1">WORKDAY(Inputs!$B$3, ROUND(C1031, 0),Sheet2!$A$2:$A$21)</f>
        <v>46266</v>
      </c>
    </row>
    <row r="1032" spans="1:4" x14ac:dyDescent="0.25">
      <c r="A1032" s="42">
        <f t="shared" si="18"/>
        <v>1031</v>
      </c>
      <c r="B1032" s="42" cm="1">
        <f t="array" aca="1" ref="B1032" ca="1">INDEX(Historical!$A$1:$A$18, RANDBETWEEN(1, COUNTA(Historical!$A$1:$A$18)))</f>
        <v>1.3692307692307693</v>
      </c>
      <c r="C1032" s="42">
        <f ca="1">Inputs!$B$2/B1032</f>
        <v>163.59550561797752</v>
      </c>
      <c r="D1032" s="43">
        <f ca="1">WORKDAY(Inputs!$B$3, ROUND(C1032, 0),Sheet2!$A$2:$A$21)</f>
        <v>46258</v>
      </c>
    </row>
    <row r="1033" spans="1:4" x14ac:dyDescent="0.25">
      <c r="A1033" s="42">
        <f t="shared" si="18"/>
        <v>1032</v>
      </c>
      <c r="B1033" s="42" cm="1">
        <f t="array" aca="1" ref="B1033" ca="1">INDEX(Historical!$A$1:$A$18, RANDBETWEEN(1, COUNTA(Historical!$A$1:$A$18)))</f>
        <v>1.1666666666666667</v>
      </c>
      <c r="C1033" s="42">
        <f ca="1">Inputs!$B$2/B1033</f>
        <v>192</v>
      </c>
      <c r="D1033" s="43">
        <f ca="1">WORKDAY(Inputs!$B$3, ROUND(C1033, 0),Sheet2!$A$2:$A$21)</f>
        <v>46297</v>
      </c>
    </row>
    <row r="1034" spans="1:4" x14ac:dyDescent="0.25">
      <c r="A1034" s="42">
        <f t="shared" si="18"/>
        <v>1033</v>
      </c>
      <c r="B1034" s="42" cm="1">
        <f t="array" aca="1" ref="B1034" ca="1">INDEX(Historical!$A$1:$A$18, RANDBETWEEN(1, COUNTA(Historical!$A$1:$A$18)))</f>
        <v>1.4347826086956521</v>
      </c>
      <c r="C1034" s="42">
        <f ca="1">Inputs!$B$2/B1034</f>
        <v>156.12121212121212</v>
      </c>
      <c r="D1034" s="43">
        <f ca="1">WORKDAY(Inputs!$B$3, ROUND(C1034, 0),Sheet2!$A$2:$A$21)</f>
        <v>46246</v>
      </c>
    </row>
    <row r="1035" spans="1:4" x14ac:dyDescent="0.25">
      <c r="A1035" s="42">
        <f t="shared" si="18"/>
        <v>1034</v>
      </c>
      <c r="B1035" s="42" cm="1">
        <f t="array" aca="1" ref="B1035" ca="1">INDEX(Historical!$A$1:$A$18, RANDBETWEEN(1, COUNTA(Historical!$A$1:$A$18)))</f>
        <v>1.3692307692307693</v>
      </c>
      <c r="C1035" s="42">
        <f ca="1">Inputs!$B$2/B1035</f>
        <v>163.59550561797752</v>
      </c>
      <c r="D1035" s="43">
        <f ca="1">WORKDAY(Inputs!$B$3, ROUND(C1035, 0),Sheet2!$A$2:$A$21)</f>
        <v>46258</v>
      </c>
    </row>
    <row r="1036" spans="1:4" x14ac:dyDescent="0.25">
      <c r="A1036" s="42">
        <f t="shared" si="18"/>
        <v>1035</v>
      </c>
      <c r="B1036" s="42" cm="1">
        <f t="array" aca="1" ref="B1036" ca="1">INDEX(Historical!$A$1:$A$18, RANDBETWEEN(1, COUNTA(Historical!$A$1:$A$18)))</f>
        <v>1.4347826086956521</v>
      </c>
      <c r="C1036" s="42">
        <f ca="1">Inputs!$B$2/B1036</f>
        <v>156.12121212121212</v>
      </c>
      <c r="D1036" s="43">
        <f ca="1">WORKDAY(Inputs!$B$3, ROUND(C1036, 0),Sheet2!$A$2:$A$21)</f>
        <v>46246</v>
      </c>
    </row>
    <row r="1037" spans="1:4" x14ac:dyDescent="0.25">
      <c r="A1037" s="42">
        <f t="shared" si="18"/>
        <v>1036</v>
      </c>
      <c r="B1037" s="42" cm="1">
        <f t="array" aca="1" ref="B1037" ca="1">INDEX(Historical!$A$1:$A$18, RANDBETWEEN(1, COUNTA(Historical!$A$1:$A$18)))</f>
        <v>1.368421052631579</v>
      </c>
      <c r="C1037" s="42">
        <f ca="1">Inputs!$B$2/B1037</f>
        <v>163.69230769230768</v>
      </c>
      <c r="D1037" s="43">
        <f ca="1">WORKDAY(Inputs!$B$3, ROUND(C1037, 0),Sheet2!$A$2:$A$21)</f>
        <v>46258</v>
      </c>
    </row>
    <row r="1038" spans="1:4" x14ac:dyDescent="0.25">
      <c r="A1038" s="42">
        <f t="shared" si="18"/>
        <v>1037</v>
      </c>
      <c r="B1038" s="42" cm="1">
        <f t="array" aca="1" ref="B1038" ca="1">INDEX(Historical!$A$1:$A$18, RANDBETWEEN(1, COUNTA(Historical!$A$1:$A$18)))</f>
        <v>1.3214285714285714</v>
      </c>
      <c r="C1038" s="42">
        <f ca="1">Inputs!$B$2/B1038</f>
        <v>169.51351351351352</v>
      </c>
      <c r="D1038" s="43">
        <f ca="1">WORKDAY(Inputs!$B$3, ROUND(C1038, 0),Sheet2!$A$2:$A$21)</f>
        <v>46266</v>
      </c>
    </row>
    <row r="1039" spans="1:4" x14ac:dyDescent="0.25">
      <c r="A1039" s="42">
        <f t="shared" si="18"/>
        <v>1038</v>
      </c>
      <c r="B1039" s="42" cm="1">
        <f t="array" aca="1" ref="B1039" ca="1">INDEX(Historical!$A$1:$A$18, RANDBETWEEN(1, COUNTA(Historical!$A$1:$A$18)))</f>
        <v>1.3214285714285714</v>
      </c>
      <c r="C1039" s="42">
        <f ca="1">Inputs!$B$2/B1039</f>
        <v>169.51351351351352</v>
      </c>
      <c r="D1039" s="43">
        <f ca="1">WORKDAY(Inputs!$B$3, ROUND(C1039, 0),Sheet2!$A$2:$A$21)</f>
        <v>46266</v>
      </c>
    </row>
    <row r="1040" spans="1:4" x14ac:dyDescent="0.25">
      <c r="A1040" s="42">
        <f t="shared" si="18"/>
        <v>1039</v>
      </c>
      <c r="B1040" s="42" cm="1">
        <f t="array" aca="1" ref="B1040" ca="1">INDEX(Historical!$A$1:$A$18, RANDBETWEEN(1, COUNTA(Historical!$A$1:$A$18)))</f>
        <v>1.4038461538461537</v>
      </c>
      <c r="C1040" s="42">
        <f ca="1">Inputs!$B$2/B1040</f>
        <v>159.56164383561645</v>
      </c>
      <c r="D1040" s="43">
        <f ca="1">WORKDAY(Inputs!$B$3, ROUND(C1040, 0),Sheet2!$A$2:$A$21)</f>
        <v>46252</v>
      </c>
    </row>
    <row r="1041" spans="1:4" x14ac:dyDescent="0.25">
      <c r="A1041" s="42">
        <f t="shared" si="18"/>
        <v>1040</v>
      </c>
      <c r="B1041" s="42" cm="1">
        <f t="array" aca="1" ref="B1041" ca="1">INDEX(Historical!$A$1:$A$18, RANDBETWEEN(1, COUNTA(Historical!$A$1:$A$18)))</f>
        <v>1.3611111111111112</v>
      </c>
      <c r="C1041" s="42">
        <f ca="1">Inputs!$B$2/B1041</f>
        <v>164.57142857142856</v>
      </c>
      <c r="D1041" s="43">
        <f ca="1">WORKDAY(Inputs!$B$3, ROUND(C1041, 0),Sheet2!$A$2:$A$21)</f>
        <v>46259</v>
      </c>
    </row>
    <row r="1042" spans="1:4" x14ac:dyDescent="0.25">
      <c r="A1042" s="42">
        <f t="shared" si="18"/>
        <v>1041</v>
      </c>
      <c r="B1042" s="42" cm="1">
        <f t="array" aca="1" ref="B1042" ca="1">INDEX(Historical!$A$1:$A$18, RANDBETWEEN(1, COUNTA(Historical!$A$1:$A$18)))</f>
        <v>1.3214285714285714</v>
      </c>
      <c r="C1042" s="42">
        <f ca="1">Inputs!$B$2/B1042</f>
        <v>169.51351351351352</v>
      </c>
      <c r="D1042" s="43">
        <f ca="1">WORKDAY(Inputs!$B$3, ROUND(C1042, 0),Sheet2!$A$2:$A$21)</f>
        <v>46266</v>
      </c>
    </row>
    <row r="1043" spans="1:4" x14ac:dyDescent="0.25">
      <c r="A1043" s="42">
        <f t="shared" si="18"/>
        <v>1042</v>
      </c>
      <c r="B1043" s="42" cm="1">
        <f t="array" aca="1" ref="B1043" ca="1">INDEX(Historical!$A$1:$A$18, RANDBETWEEN(1, COUNTA(Historical!$A$1:$A$18)))</f>
        <v>1.1666666666666667</v>
      </c>
      <c r="C1043" s="42">
        <f ca="1">Inputs!$B$2/B1043</f>
        <v>192</v>
      </c>
      <c r="D1043" s="43">
        <f ca="1">WORKDAY(Inputs!$B$3, ROUND(C1043, 0),Sheet2!$A$2:$A$21)</f>
        <v>46297</v>
      </c>
    </row>
    <row r="1044" spans="1:4" x14ac:dyDescent="0.25">
      <c r="A1044" s="42">
        <f t="shared" si="18"/>
        <v>1043</v>
      </c>
      <c r="B1044" s="42" cm="1">
        <f t="array" aca="1" ref="B1044" ca="1">INDEX(Historical!$A$1:$A$18, RANDBETWEEN(1, COUNTA(Historical!$A$1:$A$18)))</f>
        <v>1.4038461538461537</v>
      </c>
      <c r="C1044" s="42">
        <f ca="1">Inputs!$B$2/B1044</f>
        <v>159.56164383561645</v>
      </c>
      <c r="D1044" s="43">
        <f ca="1">WORKDAY(Inputs!$B$3, ROUND(C1044, 0),Sheet2!$A$2:$A$21)</f>
        <v>46252</v>
      </c>
    </row>
    <row r="1045" spans="1:4" x14ac:dyDescent="0.25">
      <c r="A1045" s="42">
        <f t="shared" si="18"/>
        <v>1044</v>
      </c>
      <c r="B1045" s="42" cm="1">
        <f t="array" aca="1" ref="B1045" ca="1">INDEX(Historical!$A$1:$A$18, RANDBETWEEN(1, COUNTA(Historical!$A$1:$A$18)))</f>
        <v>1.1666666666666667</v>
      </c>
      <c r="C1045" s="42">
        <f ca="1">Inputs!$B$2/B1045</f>
        <v>192</v>
      </c>
      <c r="D1045" s="43">
        <f ca="1">WORKDAY(Inputs!$B$3, ROUND(C1045, 0),Sheet2!$A$2:$A$21)</f>
        <v>46297</v>
      </c>
    </row>
    <row r="1046" spans="1:4" x14ac:dyDescent="0.25">
      <c r="A1046" s="42">
        <f t="shared" si="18"/>
        <v>1045</v>
      </c>
      <c r="B1046" s="42" cm="1">
        <f t="array" aca="1" ref="B1046" ca="1">INDEX(Historical!$A$1:$A$18, RANDBETWEEN(1, COUNTA(Historical!$A$1:$A$18)))</f>
        <v>1.3157894736842106</v>
      </c>
      <c r="C1046" s="42">
        <f ca="1">Inputs!$B$2/B1046</f>
        <v>170.23999999999998</v>
      </c>
      <c r="D1046" s="43">
        <f ca="1">WORKDAY(Inputs!$B$3, ROUND(C1046, 0),Sheet2!$A$2:$A$21)</f>
        <v>46266</v>
      </c>
    </row>
    <row r="1047" spans="1:4" x14ac:dyDescent="0.25">
      <c r="A1047" s="42">
        <f t="shared" si="18"/>
        <v>1046</v>
      </c>
      <c r="B1047" s="42" cm="1">
        <f t="array" aca="1" ref="B1047" ca="1">INDEX(Historical!$A$1:$A$18, RANDBETWEEN(1, COUNTA(Historical!$A$1:$A$18)))</f>
        <v>1.3559322033898304</v>
      </c>
      <c r="C1047" s="42">
        <f ca="1">Inputs!$B$2/B1047</f>
        <v>165.20000000000002</v>
      </c>
      <c r="D1047" s="43">
        <f ca="1">WORKDAY(Inputs!$B$3, ROUND(C1047, 0),Sheet2!$A$2:$A$21)</f>
        <v>46259</v>
      </c>
    </row>
    <row r="1048" spans="1:4" x14ac:dyDescent="0.25">
      <c r="A1048" s="42">
        <f t="shared" si="18"/>
        <v>1047</v>
      </c>
      <c r="B1048" s="42" cm="1">
        <f t="array" aca="1" ref="B1048" ca="1">INDEX(Historical!$A$1:$A$18, RANDBETWEEN(1, COUNTA(Historical!$A$1:$A$18)))</f>
        <v>1.375</v>
      </c>
      <c r="C1048" s="42">
        <f ca="1">Inputs!$B$2/B1048</f>
        <v>162.90909090909091</v>
      </c>
      <c r="D1048" s="43">
        <f ca="1">WORKDAY(Inputs!$B$3, ROUND(C1048, 0),Sheet2!$A$2:$A$21)</f>
        <v>46255</v>
      </c>
    </row>
    <row r="1049" spans="1:4" x14ac:dyDescent="0.25">
      <c r="A1049" s="42">
        <f t="shared" si="18"/>
        <v>1048</v>
      </c>
      <c r="B1049" s="42" cm="1">
        <f t="array" aca="1" ref="B1049" ca="1">INDEX(Historical!$A$1:$A$18, RANDBETWEEN(1, COUNTA(Historical!$A$1:$A$18)))</f>
        <v>1.290909090909091</v>
      </c>
      <c r="C1049" s="42">
        <f ca="1">Inputs!$B$2/B1049</f>
        <v>173.52112676056336</v>
      </c>
      <c r="D1049" s="43">
        <f ca="1">WORKDAY(Inputs!$B$3, ROUND(C1049, 0),Sheet2!$A$2:$A$21)</f>
        <v>46273</v>
      </c>
    </row>
    <row r="1050" spans="1:4" x14ac:dyDescent="0.25">
      <c r="A1050" s="42">
        <f t="shared" si="18"/>
        <v>1049</v>
      </c>
      <c r="B1050" s="42" cm="1">
        <f t="array" aca="1" ref="B1050" ca="1">INDEX(Historical!$A$1:$A$18, RANDBETWEEN(1, COUNTA(Historical!$A$1:$A$18)))</f>
        <v>1.1666666666666667</v>
      </c>
      <c r="C1050" s="42">
        <f ca="1">Inputs!$B$2/B1050</f>
        <v>192</v>
      </c>
      <c r="D1050" s="43">
        <f ca="1">WORKDAY(Inputs!$B$3, ROUND(C1050, 0),Sheet2!$A$2:$A$21)</f>
        <v>46297</v>
      </c>
    </row>
    <row r="1051" spans="1:4" x14ac:dyDescent="0.25">
      <c r="A1051" s="42">
        <f t="shared" si="18"/>
        <v>1050</v>
      </c>
      <c r="B1051" s="42" cm="1">
        <f t="array" aca="1" ref="B1051" ca="1">INDEX(Historical!$A$1:$A$18, RANDBETWEEN(1, COUNTA(Historical!$A$1:$A$18)))</f>
        <v>1.368421052631579</v>
      </c>
      <c r="C1051" s="42">
        <f ca="1">Inputs!$B$2/B1051</f>
        <v>163.69230769230768</v>
      </c>
      <c r="D1051" s="43">
        <f ca="1">WORKDAY(Inputs!$B$3, ROUND(C1051, 0),Sheet2!$A$2:$A$21)</f>
        <v>46258</v>
      </c>
    </row>
    <row r="1052" spans="1:4" x14ac:dyDescent="0.25">
      <c r="A1052" s="42">
        <f t="shared" si="18"/>
        <v>1051</v>
      </c>
      <c r="B1052" s="42" cm="1">
        <f t="array" aca="1" ref="B1052" ca="1">INDEX(Historical!$A$1:$A$18, RANDBETWEEN(1, COUNTA(Historical!$A$1:$A$18)))</f>
        <v>1.4038461538461537</v>
      </c>
      <c r="C1052" s="42">
        <f ca="1">Inputs!$B$2/B1052</f>
        <v>159.56164383561645</v>
      </c>
      <c r="D1052" s="43">
        <f ca="1">WORKDAY(Inputs!$B$3, ROUND(C1052, 0),Sheet2!$A$2:$A$21)</f>
        <v>46252</v>
      </c>
    </row>
    <row r="1053" spans="1:4" x14ac:dyDescent="0.25">
      <c r="A1053" s="42">
        <f t="shared" si="18"/>
        <v>1052</v>
      </c>
      <c r="B1053" s="42" cm="1">
        <f t="array" aca="1" ref="B1053" ca="1">INDEX(Historical!$A$1:$A$18, RANDBETWEEN(1, COUNTA(Historical!$A$1:$A$18)))</f>
        <v>1.4347826086956521</v>
      </c>
      <c r="C1053" s="42">
        <f ca="1">Inputs!$B$2/B1053</f>
        <v>156.12121212121212</v>
      </c>
      <c r="D1053" s="43">
        <f ca="1">WORKDAY(Inputs!$B$3, ROUND(C1053, 0),Sheet2!$A$2:$A$21)</f>
        <v>46246</v>
      </c>
    </row>
    <row r="1054" spans="1:4" x14ac:dyDescent="0.25">
      <c r="A1054" s="42">
        <f t="shared" si="18"/>
        <v>1053</v>
      </c>
      <c r="B1054" s="42" cm="1">
        <f t="array" aca="1" ref="B1054" ca="1">INDEX(Historical!$A$1:$A$18, RANDBETWEEN(1, COUNTA(Historical!$A$1:$A$18)))</f>
        <v>1.3214285714285714</v>
      </c>
      <c r="C1054" s="42">
        <f ca="1">Inputs!$B$2/B1054</f>
        <v>169.51351351351352</v>
      </c>
      <c r="D1054" s="43">
        <f ca="1">WORKDAY(Inputs!$B$3, ROUND(C1054, 0),Sheet2!$A$2:$A$21)</f>
        <v>46266</v>
      </c>
    </row>
    <row r="1055" spans="1:4" x14ac:dyDescent="0.25">
      <c r="A1055" s="42">
        <f t="shared" si="18"/>
        <v>1054</v>
      </c>
      <c r="B1055" s="42" cm="1">
        <f t="array" aca="1" ref="B1055" ca="1">INDEX(Historical!$A$1:$A$18, RANDBETWEEN(1, COUNTA(Historical!$A$1:$A$18)))</f>
        <v>1.3617021276595744</v>
      </c>
      <c r="C1055" s="42">
        <f ca="1">Inputs!$B$2/B1055</f>
        <v>164.5</v>
      </c>
      <c r="D1055" s="43">
        <f ca="1">WORKDAY(Inputs!$B$3, ROUND(C1055, 0),Sheet2!$A$2:$A$21)</f>
        <v>46259</v>
      </c>
    </row>
    <row r="1056" spans="1:4" x14ac:dyDescent="0.25">
      <c r="A1056" s="42">
        <f t="shared" si="18"/>
        <v>1055</v>
      </c>
      <c r="B1056" s="42" cm="1">
        <f t="array" aca="1" ref="B1056" ca="1">INDEX(Historical!$A$1:$A$18, RANDBETWEEN(1, COUNTA(Historical!$A$1:$A$18)))</f>
        <v>1.4137931034482758</v>
      </c>
      <c r="C1056" s="42">
        <f ca="1">Inputs!$B$2/B1056</f>
        <v>158.4390243902439</v>
      </c>
      <c r="D1056" s="43">
        <f ca="1">WORKDAY(Inputs!$B$3, ROUND(C1056, 0),Sheet2!$A$2:$A$21)</f>
        <v>46248</v>
      </c>
    </row>
    <row r="1057" spans="1:4" x14ac:dyDescent="0.25">
      <c r="A1057" s="42">
        <f t="shared" si="18"/>
        <v>1056</v>
      </c>
      <c r="B1057" s="42" cm="1">
        <f t="array" aca="1" ref="B1057" ca="1">INDEX(Historical!$A$1:$A$18, RANDBETWEEN(1, COUNTA(Historical!$A$1:$A$18)))</f>
        <v>1.5</v>
      </c>
      <c r="C1057" s="42">
        <f ca="1">Inputs!$B$2/B1057</f>
        <v>149.33333333333334</v>
      </c>
      <c r="D1057" s="43">
        <f ca="1">WORKDAY(Inputs!$B$3, ROUND(C1057, 0),Sheet2!$A$2:$A$21)</f>
        <v>46237</v>
      </c>
    </row>
    <row r="1058" spans="1:4" x14ac:dyDescent="0.25">
      <c r="A1058" s="42">
        <f t="shared" si="18"/>
        <v>1057</v>
      </c>
      <c r="B1058" s="42" cm="1">
        <f t="array" aca="1" ref="B1058" ca="1">INDEX(Historical!$A$1:$A$18, RANDBETWEEN(1, COUNTA(Historical!$A$1:$A$18)))</f>
        <v>1.4038461538461537</v>
      </c>
      <c r="C1058" s="42">
        <f ca="1">Inputs!$B$2/B1058</f>
        <v>159.56164383561645</v>
      </c>
      <c r="D1058" s="43">
        <f ca="1">WORKDAY(Inputs!$B$3, ROUND(C1058, 0),Sheet2!$A$2:$A$21)</f>
        <v>46252</v>
      </c>
    </row>
    <row r="1059" spans="1:4" x14ac:dyDescent="0.25">
      <c r="A1059" s="42">
        <f t="shared" si="18"/>
        <v>1058</v>
      </c>
      <c r="B1059" s="42" cm="1">
        <f t="array" aca="1" ref="B1059" ca="1">INDEX(Historical!$A$1:$A$18, RANDBETWEEN(1, COUNTA(Historical!$A$1:$A$18)))</f>
        <v>1.3559322033898304</v>
      </c>
      <c r="C1059" s="42">
        <f ca="1">Inputs!$B$2/B1059</f>
        <v>165.20000000000002</v>
      </c>
      <c r="D1059" s="43">
        <f ca="1">WORKDAY(Inputs!$B$3, ROUND(C1059, 0),Sheet2!$A$2:$A$21)</f>
        <v>46259</v>
      </c>
    </row>
    <row r="1060" spans="1:4" x14ac:dyDescent="0.25">
      <c r="A1060" s="42">
        <f t="shared" si="18"/>
        <v>1059</v>
      </c>
      <c r="B1060" s="42" cm="1">
        <f t="array" aca="1" ref="B1060" ca="1">INDEX(Historical!$A$1:$A$18, RANDBETWEEN(1, COUNTA(Historical!$A$1:$A$18)))</f>
        <v>1.4761904761904763</v>
      </c>
      <c r="C1060" s="42">
        <f ca="1">Inputs!$B$2/B1060</f>
        <v>151.74193548387095</v>
      </c>
      <c r="D1060" s="43">
        <f ca="1">WORKDAY(Inputs!$B$3, ROUND(C1060, 0),Sheet2!$A$2:$A$21)</f>
        <v>46240</v>
      </c>
    </row>
    <row r="1061" spans="1:4" x14ac:dyDescent="0.25">
      <c r="A1061" s="42">
        <f t="shared" si="18"/>
        <v>1060</v>
      </c>
      <c r="B1061" s="42" cm="1">
        <f t="array" aca="1" ref="B1061" ca="1">INDEX(Historical!$A$1:$A$18, RANDBETWEEN(1, COUNTA(Historical!$A$1:$A$18)))</f>
        <v>1.3559322033898304</v>
      </c>
      <c r="C1061" s="42">
        <f ca="1">Inputs!$B$2/B1061</f>
        <v>165.20000000000002</v>
      </c>
      <c r="D1061" s="43">
        <f ca="1">WORKDAY(Inputs!$B$3, ROUND(C1061, 0),Sheet2!$A$2:$A$21)</f>
        <v>46259</v>
      </c>
    </row>
    <row r="1062" spans="1:4" x14ac:dyDescent="0.25">
      <c r="A1062" s="42">
        <f t="shared" si="18"/>
        <v>1061</v>
      </c>
      <c r="B1062" s="42" cm="1">
        <f t="array" aca="1" ref="B1062" ca="1">INDEX(Historical!$A$1:$A$18, RANDBETWEEN(1, COUNTA(Historical!$A$1:$A$18)))</f>
        <v>1.290909090909091</v>
      </c>
      <c r="C1062" s="42">
        <f ca="1">Inputs!$B$2/B1062</f>
        <v>173.52112676056336</v>
      </c>
      <c r="D1062" s="43">
        <f ca="1">WORKDAY(Inputs!$B$3, ROUND(C1062, 0),Sheet2!$A$2:$A$21)</f>
        <v>46273</v>
      </c>
    </row>
    <row r="1063" spans="1:4" x14ac:dyDescent="0.25">
      <c r="A1063" s="42">
        <f t="shared" si="18"/>
        <v>1062</v>
      </c>
      <c r="B1063" s="42" cm="1">
        <f t="array" aca="1" ref="B1063" ca="1">INDEX(Historical!$A$1:$A$18, RANDBETWEEN(1, COUNTA(Historical!$A$1:$A$18)))</f>
        <v>1.4038461538461537</v>
      </c>
      <c r="C1063" s="42">
        <f ca="1">Inputs!$B$2/B1063</f>
        <v>159.56164383561645</v>
      </c>
      <c r="D1063" s="43">
        <f ca="1">WORKDAY(Inputs!$B$3, ROUND(C1063, 0),Sheet2!$A$2:$A$21)</f>
        <v>46252</v>
      </c>
    </row>
    <row r="1064" spans="1:4" x14ac:dyDescent="0.25">
      <c r="A1064" s="42">
        <f t="shared" si="18"/>
        <v>1063</v>
      </c>
      <c r="B1064" s="42" cm="1">
        <f t="array" aca="1" ref="B1064" ca="1">INDEX(Historical!$A$1:$A$18, RANDBETWEEN(1, COUNTA(Historical!$A$1:$A$18)))</f>
        <v>1.4038461538461537</v>
      </c>
      <c r="C1064" s="42">
        <f ca="1">Inputs!$B$2/B1064</f>
        <v>159.56164383561645</v>
      </c>
      <c r="D1064" s="43">
        <f ca="1">WORKDAY(Inputs!$B$3, ROUND(C1064, 0),Sheet2!$A$2:$A$21)</f>
        <v>46252</v>
      </c>
    </row>
    <row r="1065" spans="1:4" x14ac:dyDescent="0.25">
      <c r="A1065" s="42">
        <f t="shared" si="18"/>
        <v>1064</v>
      </c>
      <c r="B1065" s="42" cm="1">
        <f t="array" aca="1" ref="B1065" ca="1">INDEX(Historical!$A$1:$A$18, RANDBETWEEN(1, COUNTA(Historical!$A$1:$A$18)))</f>
        <v>1.3707865168539326</v>
      </c>
      <c r="C1065" s="42">
        <f ca="1">Inputs!$B$2/B1065</f>
        <v>163.40983606557376</v>
      </c>
      <c r="D1065" s="43">
        <f ca="1">WORKDAY(Inputs!$B$3, ROUND(C1065, 0),Sheet2!$A$2:$A$21)</f>
        <v>46255</v>
      </c>
    </row>
    <row r="1066" spans="1:4" x14ac:dyDescent="0.25">
      <c r="A1066" s="42">
        <f t="shared" si="18"/>
        <v>1065</v>
      </c>
      <c r="B1066" s="42" cm="1">
        <f t="array" aca="1" ref="B1066" ca="1">INDEX(Historical!$A$1:$A$18, RANDBETWEEN(1, COUNTA(Historical!$A$1:$A$18)))</f>
        <v>1.3617021276595744</v>
      </c>
      <c r="C1066" s="42">
        <f ca="1">Inputs!$B$2/B1066</f>
        <v>164.5</v>
      </c>
      <c r="D1066" s="43">
        <f ca="1">WORKDAY(Inputs!$B$3, ROUND(C1066, 0),Sheet2!$A$2:$A$21)</f>
        <v>46259</v>
      </c>
    </row>
    <row r="1067" spans="1:4" x14ac:dyDescent="0.25">
      <c r="A1067" s="42">
        <f t="shared" si="18"/>
        <v>1066</v>
      </c>
      <c r="B1067" s="42" cm="1">
        <f t="array" aca="1" ref="B1067" ca="1">INDEX(Historical!$A$1:$A$18, RANDBETWEEN(1, COUNTA(Historical!$A$1:$A$18)))</f>
        <v>1.303030303030303</v>
      </c>
      <c r="C1067" s="42">
        <f ca="1">Inputs!$B$2/B1067</f>
        <v>171.90697674418604</v>
      </c>
      <c r="D1067" s="43">
        <f ca="1">WORKDAY(Inputs!$B$3, ROUND(C1067, 0),Sheet2!$A$2:$A$21)</f>
        <v>46268</v>
      </c>
    </row>
    <row r="1068" spans="1:4" x14ac:dyDescent="0.25">
      <c r="A1068" s="42">
        <f t="shared" si="18"/>
        <v>1067</v>
      </c>
      <c r="B1068" s="42" cm="1">
        <f t="array" aca="1" ref="B1068" ca="1">INDEX(Historical!$A$1:$A$18, RANDBETWEEN(1, COUNTA(Historical!$A$1:$A$18)))</f>
        <v>1.3559322033898304</v>
      </c>
      <c r="C1068" s="42">
        <f ca="1">Inputs!$B$2/B1068</f>
        <v>165.20000000000002</v>
      </c>
      <c r="D1068" s="43">
        <f ca="1">WORKDAY(Inputs!$B$3, ROUND(C1068, 0),Sheet2!$A$2:$A$21)</f>
        <v>46259</v>
      </c>
    </row>
    <row r="1069" spans="1:4" x14ac:dyDescent="0.25">
      <c r="A1069" s="42">
        <f t="shared" si="18"/>
        <v>1068</v>
      </c>
      <c r="B1069" s="42" cm="1">
        <f t="array" aca="1" ref="B1069" ca="1">INDEX(Historical!$A$1:$A$18, RANDBETWEEN(1, COUNTA(Historical!$A$1:$A$18)))</f>
        <v>1.3157894736842106</v>
      </c>
      <c r="C1069" s="42">
        <f ca="1">Inputs!$B$2/B1069</f>
        <v>170.23999999999998</v>
      </c>
      <c r="D1069" s="43">
        <f ca="1">WORKDAY(Inputs!$B$3, ROUND(C1069, 0),Sheet2!$A$2:$A$21)</f>
        <v>46266</v>
      </c>
    </row>
    <row r="1070" spans="1:4" x14ac:dyDescent="0.25">
      <c r="A1070" s="42">
        <f t="shared" si="18"/>
        <v>1069</v>
      </c>
      <c r="B1070" s="42" cm="1">
        <f t="array" aca="1" ref="B1070" ca="1">INDEX(Historical!$A$1:$A$18, RANDBETWEEN(1, COUNTA(Historical!$A$1:$A$18)))</f>
        <v>1.3692307692307693</v>
      </c>
      <c r="C1070" s="42">
        <f ca="1">Inputs!$B$2/B1070</f>
        <v>163.59550561797752</v>
      </c>
      <c r="D1070" s="43">
        <f ca="1">WORKDAY(Inputs!$B$3, ROUND(C1070, 0),Sheet2!$A$2:$A$21)</f>
        <v>46258</v>
      </c>
    </row>
    <row r="1071" spans="1:4" x14ac:dyDescent="0.25">
      <c r="A1071" s="42">
        <f t="shared" si="18"/>
        <v>1070</v>
      </c>
      <c r="B1071" s="42" cm="1">
        <f t="array" aca="1" ref="B1071" ca="1">INDEX(Historical!$A$1:$A$18, RANDBETWEEN(1, COUNTA(Historical!$A$1:$A$18)))</f>
        <v>1.5</v>
      </c>
      <c r="C1071" s="42">
        <f ca="1">Inputs!$B$2/B1071</f>
        <v>149.33333333333334</v>
      </c>
      <c r="D1071" s="43">
        <f ca="1">WORKDAY(Inputs!$B$3, ROUND(C1071, 0),Sheet2!$A$2:$A$21)</f>
        <v>46237</v>
      </c>
    </row>
    <row r="1072" spans="1:4" x14ac:dyDescent="0.25">
      <c r="A1072" s="42">
        <f t="shared" si="18"/>
        <v>1071</v>
      </c>
      <c r="B1072" s="42" cm="1">
        <f t="array" aca="1" ref="B1072" ca="1">INDEX(Historical!$A$1:$A$18, RANDBETWEEN(1, COUNTA(Historical!$A$1:$A$18)))</f>
        <v>1.2941176470588236</v>
      </c>
      <c r="C1072" s="42">
        <f ca="1">Inputs!$B$2/B1072</f>
        <v>173.09090909090909</v>
      </c>
      <c r="D1072" s="43">
        <f ca="1">WORKDAY(Inputs!$B$3, ROUND(C1072, 0),Sheet2!$A$2:$A$21)</f>
        <v>46269</v>
      </c>
    </row>
    <row r="1073" spans="1:4" x14ac:dyDescent="0.25">
      <c r="A1073" s="42">
        <f t="shared" si="18"/>
        <v>1072</v>
      </c>
      <c r="B1073" s="42" cm="1">
        <f t="array" aca="1" ref="B1073" ca="1">INDEX(Historical!$A$1:$A$18, RANDBETWEEN(1, COUNTA(Historical!$A$1:$A$18)))</f>
        <v>1.3611111111111112</v>
      </c>
      <c r="C1073" s="42">
        <f ca="1">Inputs!$B$2/B1073</f>
        <v>164.57142857142856</v>
      </c>
      <c r="D1073" s="43">
        <f ca="1">WORKDAY(Inputs!$B$3, ROUND(C1073, 0),Sheet2!$A$2:$A$21)</f>
        <v>46259</v>
      </c>
    </row>
    <row r="1074" spans="1:4" x14ac:dyDescent="0.25">
      <c r="A1074" s="42">
        <f t="shared" si="18"/>
        <v>1073</v>
      </c>
      <c r="B1074" s="42" cm="1">
        <f t="array" aca="1" ref="B1074" ca="1">INDEX(Historical!$A$1:$A$18, RANDBETWEEN(1, COUNTA(Historical!$A$1:$A$18)))</f>
        <v>1.3707865168539326</v>
      </c>
      <c r="C1074" s="42">
        <f ca="1">Inputs!$B$2/B1074</f>
        <v>163.40983606557376</v>
      </c>
      <c r="D1074" s="43">
        <f ca="1">WORKDAY(Inputs!$B$3, ROUND(C1074, 0),Sheet2!$A$2:$A$21)</f>
        <v>46255</v>
      </c>
    </row>
    <row r="1075" spans="1:4" x14ac:dyDescent="0.25">
      <c r="A1075" s="42">
        <f t="shared" si="18"/>
        <v>1074</v>
      </c>
      <c r="B1075" s="42" cm="1">
        <f t="array" aca="1" ref="B1075" ca="1">INDEX(Historical!$A$1:$A$18, RANDBETWEEN(1, COUNTA(Historical!$A$1:$A$18)))</f>
        <v>1.368421052631579</v>
      </c>
      <c r="C1075" s="42">
        <f ca="1">Inputs!$B$2/B1075</f>
        <v>163.69230769230768</v>
      </c>
      <c r="D1075" s="43">
        <f ca="1">WORKDAY(Inputs!$B$3, ROUND(C1075, 0),Sheet2!$A$2:$A$21)</f>
        <v>46258</v>
      </c>
    </row>
    <row r="1076" spans="1:4" x14ac:dyDescent="0.25">
      <c r="A1076" s="42">
        <f t="shared" si="18"/>
        <v>1075</v>
      </c>
      <c r="B1076" s="42" cm="1">
        <f t="array" aca="1" ref="B1076" ca="1">INDEX(Historical!$A$1:$A$18, RANDBETWEEN(1, COUNTA(Historical!$A$1:$A$18)))</f>
        <v>1.3559322033898304</v>
      </c>
      <c r="C1076" s="42">
        <f ca="1">Inputs!$B$2/B1076</f>
        <v>165.20000000000002</v>
      </c>
      <c r="D1076" s="43">
        <f ca="1">WORKDAY(Inputs!$B$3, ROUND(C1076, 0),Sheet2!$A$2:$A$21)</f>
        <v>46259</v>
      </c>
    </row>
    <row r="1077" spans="1:4" x14ac:dyDescent="0.25">
      <c r="A1077" s="42">
        <f t="shared" si="18"/>
        <v>1076</v>
      </c>
      <c r="B1077" s="42" cm="1">
        <f t="array" aca="1" ref="B1077" ca="1">INDEX(Historical!$A$1:$A$18, RANDBETWEEN(1, COUNTA(Historical!$A$1:$A$18)))</f>
        <v>1.3157894736842106</v>
      </c>
      <c r="C1077" s="42">
        <f ca="1">Inputs!$B$2/B1077</f>
        <v>170.23999999999998</v>
      </c>
      <c r="D1077" s="43">
        <f ca="1">WORKDAY(Inputs!$B$3, ROUND(C1077, 0),Sheet2!$A$2:$A$21)</f>
        <v>46266</v>
      </c>
    </row>
    <row r="1078" spans="1:4" x14ac:dyDescent="0.25">
      <c r="A1078" s="42">
        <f t="shared" si="18"/>
        <v>1077</v>
      </c>
      <c r="B1078" s="42" cm="1">
        <f t="array" aca="1" ref="B1078" ca="1">INDEX(Historical!$A$1:$A$18, RANDBETWEEN(1, COUNTA(Historical!$A$1:$A$18)))</f>
        <v>1.290909090909091</v>
      </c>
      <c r="C1078" s="42">
        <f ca="1">Inputs!$B$2/B1078</f>
        <v>173.52112676056336</v>
      </c>
      <c r="D1078" s="43">
        <f ca="1">WORKDAY(Inputs!$B$3, ROUND(C1078, 0),Sheet2!$A$2:$A$21)</f>
        <v>46273</v>
      </c>
    </row>
    <row r="1079" spans="1:4" x14ac:dyDescent="0.25">
      <c r="A1079" s="42">
        <f t="shared" si="18"/>
        <v>1078</v>
      </c>
      <c r="B1079" s="42" cm="1">
        <f t="array" aca="1" ref="B1079" ca="1">INDEX(Historical!$A$1:$A$18, RANDBETWEEN(1, COUNTA(Historical!$A$1:$A$18)))</f>
        <v>1.5</v>
      </c>
      <c r="C1079" s="42">
        <f ca="1">Inputs!$B$2/B1079</f>
        <v>149.33333333333334</v>
      </c>
      <c r="D1079" s="43">
        <f ca="1">WORKDAY(Inputs!$B$3, ROUND(C1079, 0),Sheet2!$A$2:$A$21)</f>
        <v>46237</v>
      </c>
    </row>
    <row r="1080" spans="1:4" x14ac:dyDescent="0.25">
      <c r="A1080" s="42">
        <f t="shared" si="18"/>
        <v>1079</v>
      </c>
      <c r="B1080" s="42" cm="1">
        <f t="array" aca="1" ref="B1080" ca="1">INDEX(Historical!$A$1:$A$18, RANDBETWEEN(1, COUNTA(Historical!$A$1:$A$18)))</f>
        <v>1.375</v>
      </c>
      <c r="C1080" s="42">
        <f ca="1">Inputs!$B$2/B1080</f>
        <v>162.90909090909091</v>
      </c>
      <c r="D1080" s="43">
        <f ca="1">WORKDAY(Inputs!$B$3, ROUND(C1080, 0),Sheet2!$A$2:$A$21)</f>
        <v>46255</v>
      </c>
    </row>
    <row r="1081" spans="1:4" x14ac:dyDescent="0.25">
      <c r="A1081" s="42">
        <f t="shared" si="18"/>
        <v>1080</v>
      </c>
      <c r="B1081" s="42" cm="1">
        <f t="array" aca="1" ref="B1081" ca="1">INDEX(Historical!$A$1:$A$18, RANDBETWEEN(1, COUNTA(Historical!$A$1:$A$18)))</f>
        <v>1.4761904761904763</v>
      </c>
      <c r="C1081" s="42">
        <f ca="1">Inputs!$B$2/B1081</f>
        <v>151.74193548387095</v>
      </c>
      <c r="D1081" s="43">
        <f ca="1">WORKDAY(Inputs!$B$3, ROUND(C1081, 0),Sheet2!$A$2:$A$21)</f>
        <v>46240</v>
      </c>
    </row>
    <row r="1082" spans="1:4" x14ac:dyDescent="0.25">
      <c r="A1082" s="42">
        <f t="shared" si="18"/>
        <v>1081</v>
      </c>
      <c r="B1082" s="42" cm="1">
        <f t="array" aca="1" ref="B1082" ca="1">INDEX(Historical!$A$1:$A$18, RANDBETWEEN(1, COUNTA(Historical!$A$1:$A$18)))</f>
        <v>1.3214285714285714</v>
      </c>
      <c r="C1082" s="42">
        <f ca="1">Inputs!$B$2/B1082</f>
        <v>169.51351351351352</v>
      </c>
      <c r="D1082" s="43">
        <f ca="1">WORKDAY(Inputs!$B$3, ROUND(C1082, 0),Sheet2!$A$2:$A$21)</f>
        <v>46266</v>
      </c>
    </row>
    <row r="1083" spans="1:4" x14ac:dyDescent="0.25">
      <c r="A1083" s="42">
        <f t="shared" si="18"/>
        <v>1082</v>
      </c>
      <c r="B1083" s="42" cm="1">
        <f t="array" aca="1" ref="B1083" ca="1">INDEX(Historical!$A$1:$A$18, RANDBETWEEN(1, COUNTA(Historical!$A$1:$A$18)))</f>
        <v>1.1666666666666667</v>
      </c>
      <c r="C1083" s="42">
        <f ca="1">Inputs!$B$2/B1083</f>
        <v>192</v>
      </c>
      <c r="D1083" s="43">
        <f ca="1">WORKDAY(Inputs!$B$3, ROUND(C1083, 0),Sheet2!$A$2:$A$21)</f>
        <v>46297</v>
      </c>
    </row>
    <row r="1084" spans="1:4" x14ac:dyDescent="0.25">
      <c r="A1084" s="42">
        <f t="shared" si="18"/>
        <v>1083</v>
      </c>
      <c r="B1084" s="42" cm="1">
        <f t="array" aca="1" ref="B1084" ca="1">INDEX(Historical!$A$1:$A$18, RANDBETWEEN(1, COUNTA(Historical!$A$1:$A$18)))</f>
        <v>1.375</v>
      </c>
      <c r="C1084" s="42">
        <f ca="1">Inputs!$B$2/B1084</f>
        <v>162.90909090909091</v>
      </c>
      <c r="D1084" s="43">
        <f ca="1">WORKDAY(Inputs!$B$3, ROUND(C1084, 0),Sheet2!$A$2:$A$21)</f>
        <v>46255</v>
      </c>
    </row>
    <row r="1085" spans="1:4" x14ac:dyDescent="0.25">
      <c r="A1085" s="42">
        <f t="shared" si="18"/>
        <v>1084</v>
      </c>
      <c r="B1085" s="42" cm="1">
        <f t="array" aca="1" ref="B1085" ca="1">INDEX(Historical!$A$1:$A$18, RANDBETWEEN(1, COUNTA(Historical!$A$1:$A$18)))</f>
        <v>1.290909090909091</v>
      </c>
      <c r="C1085" s="42">
        <f ca="1">Inputs!$B$2/B1085</f>
        <v>173.52112676056336</v>
      </c>
      <c r="D1085" s="43">
        <f ca="1">WORKDAY(Inputs!$B$3, ROUND(C1085, 0),Sheet2!$A$2:$A$21)</f>
        <v>46273</v>
      </c>
    </row>
    <row r="1086" spans="1:4" x14ac:dyDescent="0.25">
      <c r="A1086" s="42">
        <f t="shared" si="18"/>
        <v>1085</v>
      </c>
      <c r="B1086" s="42" cm="1">
        <f t="array" aca="1" ref="B1086" ca="1">INDEX(Historical!$A$1:$A$18, RANDBETWEEN(1, COUNTA(Historical!$A$1:$A$18)))</f>
        <v>1.4761904761904763</v>
      </c>
      <c r="C1086" s="42">
        <f ca="1">Inputs!$B$2/B1086</f>
        <v>151.74193548387095</v>
      </c>
      <c r="D1086" s="43">
        <f ca="1">WORKDAY(Inputs!$B$3, ROUND(C1086, 0),Sheet2!$A$2:$A$21)</f>
        <v>46240</v>
      </c>
    </row>
    <row r="1087" spans="1:4" x14ac:dyDescent="0.25">
      <c r="A1087" s="42">
        <f t="shared" si="18"/>
        <v>1086</v>
      </c>
      <c r="B1087" s="42" cm="1">
        <f t="array" aca="1" ref="B1087" ca="1">INDEX(Historical!$A$1:$A$18, RANDBETWEEN(1, COUNTA(Historical!$A$1:$A$18)))</f>
        <v>1.4137931034482758</v>
      </c>
      <c r="C1087" s="42">
        <f ca="1">Inputs!$B$2/B1087</f>
        <v>158.4390243902439</v>
      </c>
      <c r="D1087" s="43">
        <f ca="1">WORKDAY(Inputs!$B$3, ROUND(C1087, 0),Sheet2!$A$2:$A$21)</f>
        <v>46248</v>
      </c>
    </row>
    <row r="1088" spans="1:4" x14ac:dyDescent="0.25">
      <c r="A1088" s="42">
        <f t="shared" si="18"/>
        <v>1087</v>
      </c>
      <c r="B1088" s="42" cm="1">
        <f t="array" aca="1" ref="B1088" ca="1">INDEX(Historical!$A$1:$A$18, RANDBETWEEN(1, COUNTA(Historical!$A$1:$A$18)))</f>
        <v>1.3707865168539326</v>
      </c>
      <c r="C1088" s="42">
        <f ca="1">Inputs!$B$2/B1088</f>
        <v>163.40983606557376</v>
      </c>
      <c r="D1088" s="43">
        <f ca="1">WORKDAY(Inputs!$B$3, ROUND(C1088, 0),Sheet2!$A$2:$A$21)</f>
        <v>46255</v>
      </c>
    </row>
    <row r="1089" spans="1:4" x14ac:dyDescent="0.25">
      <c r="A1089" s="42">
        <f t="shared" si="18"/>
        <v>1088</v>
      </c>
      <c r="B1089" s="42" cm="1">
        <f t="array" aca="1" ref="B1089" ca="1">INDEX(Historical!$A$1:$A$18, RANDBETWEEN(1, COUNTA(Historical!$A$1:$A$18)))</f>
        <v>1.290909090909091</v>
      </c>
      <c r="C1089" s="42">
        <f ca="1">Inputs!$B$2/B1089</f>
        <v>173.52112676056336</v>
      </c>
      <c r="D1089" s="43">
        <f ca="1">WORKDAY(Inputs!$B$3, ROUND(C1089, 0),Sheet2!$A$2:$A$21)</f>
        <v>46273</v>
      </c>
    </row>
    <row r="1090" spans="1:4" x14ac:dyDescent="0.25">
      <c r="A1090" s="42">
        <f t="shared" si="18"/>
        <v>1089</v>
      </c>
      <c r="B1090" s="42" cm="1">
        <f t="array" aca="1" ref="B1090" ca="1">INDEX(Historical!$A$1:$A$18, RANDBETWEEN(1, COUNTA(Historical!$A$1:$A$18)))</f>
        <v>1.4347826086956521</v>
      </c>
      <c r="C1090" s="42">
        <f ca="1">Inputs!$B$2/B1090</f>
        <v>156.12121212121212</v>
      </c>
      <c r="D1090" s="43">
        <f ca="1">WORKDAY(Inputs!$B$3, ROUND(C1090, 0),Sheet2!$A$2:$A$21)</f>
        <v>46246</v>
      </c>
    </row>
    <row r="1091" spans="1:4" x14ac:dyDescent="0.25">
      <c r="A1091" s="42">
        <f t="shared" ref="A1091:A1154" si="19">ROW()-1</f>
        <v>1090</v>
      </c>
      <c r="B1091" s="42" cm="1">
        <f t="array" aca="1" ref="B1091" ca="1">INDEX(Historical!$A$1:$A$18, RANDBETWEEN(1, COUNTA(Historical!$A$1:$A$18)))</f>
        <v>1.4137931034482758</v>
      </c>
      <c r="C1091" s="42">
        <f ca="1">Inputs!$B$2/B1091</f>
        <v>158.4390243902439</v>
      </c>
      <c r="D1091" s="43">
        <f ca="1">WORKDAY(Inputs!$B$3, ROUND(C1091, 0),Sheet2!$A$2:$A$21)</f>
        <v>46248</v>
      </c>
    </row>
    <row r="1092" spans="1:4" x14ac:dyDescent="0.25">
      <c r="A1092" s="42">
        <f t="shared" si="19"/>
        <v>1091</v>
      </c>
      <c r="B1092" s="42" cm="1">
        <f t="array" aca="1" ref="B1092" ca="1">INDEX(Historical!$A$1:$A$18, RANDBETWEEN(1, COUNTA(Historical!$A$1:$A$18)))</f>
        <v>1.3157894736842106</v>
      </c>
      <c r="C1092" s="42">
        <f ca="1">Inputs!$B$2/B1092</f>
        <v>170.23999999999998</v>
      </c>
      <c r="D1092" s="43">
        <f ca="1">WORKDAY(Inputs!$B$3, ROUND(C1092, 0),Sheet2!$A$2:$A$21)</f>
        <v>46266</v>
      </c>
    </row>
    <row r="1093" spans="1:4" x14ac:dyDescent="0.25">
      <c r="A1093" s="42">
        <f t="shared" si="19"/>
        <v>1092</v>
      </c>
      <c r="B1093" s="42" cm="1">
        <f t="array" aca="1" ref="B1093" ca="1">INDEX(Historical!$A$1:$A$18, RANDBETWEEN(1, COUNTA(Historical!$A$1:$A$18)))</f>
        <v>1.3157894736842106</v>
      </c>
      <c r="C1093" s="42">
        <f ca="1">Inputs!$B$2/B1093</f>
        <v>170.23999999999998</v>
      </c>
      <c r="D1093" s="43">
        <f ca="1">WORKDAY(Inputs!$B$3, ROUND(C1093, 0),Sheet2!$A$2:$A$21)</f>
        <v>46266</v>
      </c>
    </row>
    <row r="1094" spans="1:4" x14ac:dyDescent="0.25">
      <c r="A1094" s="42">
        <f t="shared" si="19"/>
        <v>1093</v>
      </c>
      <c r="B1094" s="42" cm="1">
        <f t="array" aca="1" ref="B1094" ca="1">INDEX(Historical!$A$1:$A$18, RANDBETWEEN(1, COUNTA(Historical!$A$1:$A$18)))</f>
        <v>1.3214285714285714</v>
      </c>
      <c r="C1094" s="42">
        <f ca="1">Inputs!$B$2/B1094</f>
        <v>169.51351351351352</v>
      </c>
      <c r="D1094" s="43">
        <f ca="1">WORKDAY(Inputs!$B$3, ROUND(C1094, 0),Sheet2!$A$2:$A$21)</f>
        <v>46266</v>
      </c>
    </row>
    <row r="1095" spans="1:4" x14ac:dyDescent="0.25">
      <c r="A1095" s="42">
        <f t="shared" si="19"/>
        <v>1094</v>
      </c>
      <c r="B1095" s="42" cm="1">
        <f t="array" aca="1" ref="B1095" ca="1">INDEX(Historical!$A$1:$A$18, RANDBETWEEN(1, COUNTA(Historical!$A$1:$A$18)))</f>
        <v>1.3157894736842106</v>
      </c>
      <c r="C1095" s="42">
        <f ca="1">Inputs!$B$2/B1095</f>
        <v>170.23999999999998</v>
      </c>
      <c r="D1095" s="43">
        <f ca="1">WORKDAY(Inputs!$B$3, ROUND(C1095, 0),Sheet2!$A$2:$A$21)</f>
        <v>46266</v>
      </c>
    </row>
    <row r="1096" spans="1:4" x14ac:dyDescent="0.25">
      <c r="A1096" s="42">
        <f t="shared" si="19"/>
        <v>1095</v>
      </c>
      <c r="B1096" s="42" cm="1">
        <f t="array" aca="1" ref="B1096" ca="1">INDEX(Historical!$A$1:$A$18, RANDBETWEEN(1, COUNTA(Historical!$A$1:$A$18)))</f>
        <v>1.303030303030303</v>
      </c>
      <c r="C1096" s="42">
        <f ca="1">Inputs!$B$2/B1096</f>
        <v>171.90697674418604</v>
      </c>
      <c r="D1096" s="43">
        <f ca="1">WORKDAY(Inputs!$B$3, ROUND(C1096, 0),Sheet2!$A$2:$A$21)</f>
        <v>46268</v>
      </c>
    </row>
    <row r="1097" spans="1:4" x14ac:dyDescent="0.25">
      <c r="A1097" s="42">
        <f t="shared" si="19"/>
        <v>1096</v>
      </c>
      <c r="B1097" s="42" cm="1">
        <f t="array" aca="1" ref="B1097" ca="1">INDEX(Historical!$A$1:$A$18, RANDBETWEEN(1, COUNTA(Historical!$A$1:$A$18)))</f>
        <v>1.3617021276595744</v>
      </c>
      <c r="C1097" s="42">
        <f ca="1">Inputs!$B$2/B1097</f>
        <v>164.5</v>
      </c>
      <c r="D1097" s="43">
        <f ca="1">WORKDAY(Inputs!$B$3, ROUND(C1097, 0),Sheet2!$A$2:$A$21)</f>
        <v>46259</v>
      </c>
    </row>
    <row r="1098" spans="1:4" x14ac:dyDescent="0.25">
      <c r="A1098" s="42">
        <f t="shared" si="19"/>
        <v>1097</v>
      </c>
      <c r="B1098" s="42" cm="1">
        <f t="array" aca="1" ref="B1098" ca="1">INDEX(Historical!$A$1:$A$18, RANDBETWEEN(1, COUNTA(Historical!$A$1:$A$18)))</f>
        <v>1.375</v>
      </c>
      <c r="C1098" s="42">
        <f ca="1">Inputs!$B$2/B1098</f>
        <v>162.90909090909091</v>
      </c>
      <c r="D1098" s="43">
        <f ca="1">WORKDAY(Inputs!$B$3, ROUND(C1098, 0),Sheet2!$A$2:$A$21)</f>
        <v>46255</v>
      </c>
    </row>
    <row r="1099" spans="1:4" x14ac:dyDescent="0.25">
      <c r="A1099" s="42">
        <f t="shared" si="19"/>
        <v>1098</v>
      </c>
      <c r="B1099" s="42" cm="1">
        <f t="array" aca="1" ref="B1099" ca="1">INDEX(Historical!$A$1:$A$18, RANDBETWEEN(1, COUNTA(Historical!$A$1:$A$18)))</f>
        <v>1.3611111111111112</v>
      </c>
      <c r="C1099" s="42">
        <f ca="1">Inputs!$B$2/B1099</f>
        <v>164.57142857142856</v>
      </c>
      <c r="D1099" s="43">
        <f ca="1">WORKDAY(Inputs!$B$3, ROUND(C1099, 0),Sheet2!$A$2:$A$21)</f>
        <v>46259</v>
      </c>
    </row>
    <row r="1100" spans="1:4" x14ac:dyDescent="0.25">
      <c r="A1100" s="42">
        <f t="shared" si="19"/>
        <v>1099</v>
      </c>
      <c r="B1100" s="42" cm="1">
        <f t="array" aca="1" ref="B1100" ca="1">INDEX(Historical!$A$1:$A$18, RANDBETWEEN(1, COUNTA(Historical!$A$1:$A$18)))</f>
        <v>1.303030303030303</v>
      </c>
      <c r="C1100" s="42">
        <f ca="1">Inputs!$B$2/B1100</f>
        <v>171.90697674418604</v>
      </c>
      <c r="D1100" s="43">
        <f ca="1">WORKDAY(Inputs!$B$3, ROUND(C1100, 0),Sheet2!$A$2:$A$21)</f>
        <v>46268</v>
      </c>
    </row>
    <row r="1101" spans="1:4" x14ac:dyDescent="0.25">
      <c r="A1101" s="42">
        <f t="shared" si="19"/>
        <v>1100</v>
      </c>
      <c r="B1101" s="42" cm="1">
        <f t="array" aca="1" ref="B1101" ca="1">INDEX(Historical!$A$1:$A$18, RANDBETWEEN(1, COUNTA(Historical!$A$1:$A$18)))</f>
        <v>1.290909090909091</v>
      </c>
      <c r="C1101" s="42">
        <f ca="1">Inputs!$B$2/B1101</f>
        <v>173.52112676056336</v>
      </c>
      <c r="D1101" s="43">
        <f ca="1">WORKDAY(Inputs!$B$3, ROUND(C1101, 0),Sheet2!$A$2:$A$21)</f>
        <v>46273</v>
      </c>
    </row>
    <row r="1102" spans="1:4" x14ac:dyDescent="0.25">
      <c r="A1102" s="42">
        <f t="shared" si="19"/>
        <v>1101</v>
      </c>
      <c r="B1102" s="42" cm="1">
        <f t="array" aca="1" ref="B1102" ca="1">INDEX(Historical!$A$1:$A$18, RANDBETWEEN(1, COUNTA(Historical!$A$1:$A$18)))</f>
        <v>1.1666666666666667</v>
      </c>
      <c r="C1102" s="42">
        <f ca="1">Inputs!$B$2/B1102</f>
        <v>192</v>
      </c>
      <c r="D1102" s="43">
        <f ca="1">WORKDAY(Inputs!$B$3, ROUND(C1102, 0),Sheet2!$A$2:$A$21)</f>
        <v>46297</v>
      </c>
    </row>
    <row r="1103" spans="1:4" x14ac:dyDescent="0.25">
      <c r="A1103" s="42">
        <f t="shared" si="19"/>
        <v>1102</v>
      </c>
      <c r="B1103" s="42" cm="1">
        <f t="array" aca="1" ref="B1103" ca="1">INDEX(Historical!$A$1:$A$18, RANDBETWEEN(1, COUNTA(Historical!$A$1:$A$18)))</f>
        <v>1.3611111111111112</v>
      </c>
      <c r="C1103" s="42">
        <f ca="1">Inputs!$B$2/B1103</f>
        <v>164.57142857142856</v>
      </c>
      <c r="D1103" s="43">
        <f ca="1">WORKDAY(Inputs!$B$3, ROUND(C1103, 0),Sheet2!$A$2:$A$21)</f>
        <v>46259</v>
      </c>
    </row>
    <row r="1104" spans="1:4" x14ac:dyDescent="0.25">
      <c r="A1104" s="42">
        <f t="shared" si="19"/>
        <v>1103</v>
      </c>
      <c r="B1104" s="42" cm="1">
        <f t="array" aca="1" ref="B1104" ca="1">INDEX(Historical!$A$1:$A$18, RANDBETWEEN(1, COUNTA(Historical!$A$1:$A$18)))</f>
        <v>1.4347826086956521</v>
      </c>
      <c r="C1104" s="42">
        <f ca="1">Inputs!$B$2/B1104</f>
        <v>156.12121212121212</v>
      </c>
      <c r="D1104" s="43">
        <f ca="1">WORKDAY(Inputs!$B$3, ROUND(C1104, 0),Sheet2!$A$2:$A$21)</f>
        <v>46246</v>
      </c>
    </row>
    <row r="1105" spans="1:4" x14ac:dyDescent="0.25">
      <c r="A1105" s="42">
        <f t="shared" si="19"/>
        <v>1104</v>
      </c>
      <c r="B1105" s="42" cm="1">
        <f t="array" aca="1" ref="B1105" ca="1">INDEX(Historical!$A$1:$A$18, RANDBETWEEN(1, COUNTA(Historical!$A$1:$A$18)))</f>
        <v>1.4761904761904763</v>
      </c>
      <c r="C1105" s="42">
        <f ca="1">Inputs!$B$2/B1105</f>
        <v>151.74193548387095</v>
      </c>
      <c r="D1105" s="43">
        <f ca="1">WORKDAY(Inputs!$B$3, ROUND(C1105, 0),Sheet2!$A$2:$A$21)</f>
        <v>46240</v>
      </c>
    </row>
    <row r="1106" spans="1:4" x14ac:dyDescent="0.25">
      <c r="A1106" s="42">
        <f t="shared" si="19"/>
        <v>1105</v>
      </c>
      <c r="B1106" s="42" cm="1">
        <f t="array" aca="1" ref="B1106" ca="1">INDEX(Historical!$A$1:$A$18, RANDBETWEEN(1, COUNTA(Historical!$A$1:$A$18)))</f>
        <v>1.2941176470588236</v>
      </c>
      <c r="C1106" s="42">
        <f ca="1">Inputs!$B$2/B1106</f>
        <v>173.09090909090909</v>
      </c>
      <c r="D1106" s="43">
        <f ca="1">WORKDAY(Inputs!$B$3, ROUND(C1106, 0),Sheet2!$A$2:$A$21)</f>
        <v>46269</v>
      </c>
    </row>
    <row r="1107" spans="1:4" x14ac:dyDescent="0.25">
      <c r="A1107" s="42">
        <f t="shared" si="19"/>
        <v>1106</v>
      </c>
      <c r="B1107" s="42" cm="1">
        <f t="array" aca="1" ref="B1107" ca="1">INDEX(Historical!$A$1:$A$18, RANDBETWEEN(1, COUNTA(Historical!$A$1:$A$18)))</f>
        <v>1.3611111111111112</v>
      </c>
      <c r="C1107" s="42">
        <f ca="1">Inputs!$B$2/B1107</f>
        <v>164.57142857142856</v>
      </c>
      <c r="D1107" s="43">
        <f ca="1">WORKDAY(Inputs!$B$3, ROUND(C1107, 0),Sheet2!$A$2:$A$21)</f>
        <v>46259</v>
      </c>
    </row>
    <row r="1108" spans="1:4" x14ac:dyDescent="0.25">
      <c r="A1108" s="42">
        <f t="shared" si="19"/>
        <v>1107</v>
      </c>
      <c r="B1108" s="42" cm="1">
        <f t="array" aca="1" ref="B1108" ca="1">INDEX(Historical!$A$1:$A$18, RANDBETWEEN(1, COUNTA(Historical!$A$1:$A$18)))</f>
        <v>1.368421052631579</v>
      </c>
      <c r="C1108" s="42">
        <f ca="1">Inputs!$B$2/B1108</f>
        <v>163.69230769230768</v>
      </c>
      <c r="D1108" s="43">
        <f ca="1">WORKDAY(Inputs!$B$3, ROUND(C1108, 0),Sheet2!$A$2:$A$21)</f>
        <v>46258</v>
      </c>
    </row>
    <row r="1109" spans="1:4" x14ac:dyDescent="0.25">
      <c r="A1109" s="42">
        <f t="shared" si="19"/>
        <v>1108</v>
      </c>
      <c r="B1109" s="42" cm="1">
        <f t="array" aca="1" ref="B1109" ca="1">INDEX(Historical!$A$1:$A$18, RANDBETWEEN(1, COUNTA(Historical!$A$1:$A$18)))</f>
        <v>1.303030303030303</v>
      </c>
      <c r="C1109" s="42">
        <f ca="1">Inputs!$B$2/B1109</f>
        <v>171.90697674418604</v>
      </c>
      <c r="D1109" s="43">
        <f ca="1">WORKDAY(Inputs!$B$3, ROUND(C1109, 0),Sheet2!$A$2:$A$21)</f>
        <v>46268</v>
      </c>
    </row>
    <row r="1110" spans="1:4" x14ac:dyDescent="0.25">
      <c r="A1110" s="42">
        <f t="shared" si="19"/>
        <v>1109</v>
      </c>
      <c r="B1110" s="42" cm="1">
        <f t="array" aca="1" ref="B1110" ca="1">INDEX(Historical!$A$1:$A$18, RANDBETWEEN(1, COUNTA(Historical!$A$1:$A$18)))</f>
        <v>1.2941176470588236</v>
      </c>
      <c r="C1110" s="42">
        <f ca="1">Inputs!$B$2/B1110</f>
        <v>173.09090909090909</v>
      </c>
      <c r="D1110" s="43">
        <f ca="1">WORKDAY(Inputs!$B$3, ROUND(C1110, 0),Sheet2!$A$2:$A$21)</f>
        <v>46269</v>
      </c>
    </row>
    <row r="1111" spans="1:4" x14ac:dyDescent="0.25">
      <c r="A1111" s="42">
        <f t="shared" si="19"/>
        <v>1110</v>
      </c>
      <c r="B1111" s="42" cm="1">
        <f t="array" aca="1" ref="B1111" ca="1">INDEX(Historical!$A$1:$A$18, RANDBETWEEN(1, COUNTA(Historical!$A$1:$A$18)))</f>
        <v>1.303030303030303</v>
      </c>
      <c r="C1111" s="42">
        <f ca="1">Inputs!$B$2/B1111</f>
        <v>171.90697674418604</v>
      </c>
      <c r="D1111" s="43">
        <f ca="1">WORKDAY(Inputs!$B$3, ROUND(C1111, 0),Sheet2!$A$2:$A$21)</f>
        <v>46268</v>
      </c>
    </row>
    <row r="1112" spans="1:4" x14ac:dyDescent="0.25">
      <c r="A1112" s="42">
        <f t="shared" si="19"/>
        <v>1111</v>
      </c>
      <c r="B1112" s="42" cm="1">
        <f t="array" aca="1" ref="B1112" ca="1">INDEX(Historical!$A$1:$A$18, RANDBETWEEN(1, COUNTA(Historical!$A$1:$A$18)))</f>
        <v>1.3617021276595744</v>
      </c>
      <c r="C1112" s="42">
        <f ca="1">Inputs!$B$2/B1112</f>
        <v>164.5</v>
      </c>
      <c r="D1112" s="43">
        <f ca="1">WORKDAY(Inputs!$B$3, ROUND(C1112, 0),Sheet2!$A$2:$A$21)</f>
        <v>46259</v>
      </c>
    </row>
    <row r="1113" spans="1:4" x14ac:dyDescent="0.25">
      <c r="A1113" s="42">
        <f t="shared" si="19"/>
        <v>1112</v>
      </c>
      <c r="B1113" s="42" cm="1">
        <f t="array" aca="1" ref="B1113" ca="1">INDEX(Historical!$A$1:$A$18, RANDBETWEEN(1, COUNTA(Historical!$A$1:$A$18)))</f>
        <v>1.4038461538461537</v>
      </c>
      <c r="C1113" s="42">
        <f ca="1">Inputs!$B$2/B1113</f>
        <v>159.56164383561645</v>
      </c>
      <c r="D1113" s="43">
        <f ca="1">WORKDAY(Inputs!$B$3, ROUND(C1113, 0),Sheet2!$A$2:$A$21)</f>
        <v>46252</v>
      </c>
    </row>
    <row r="1114" spans="1:4" x14ac:dyDescent="0.25">
      <c r="A1114" s="42">
        <f t="shared" si="19"/>
        <v>1113</v>
      </c>
      <c r="B1114" s="42" cm="1">
        <f t="array" aca="1" ref="B1114" ca="1">INDEX(Historical!$A$1:$A$18, RANDBETWEEN(1, COUNTA(Historical!$A$1:$A$18)))</f>
        <v>1.3707865168539326</v>
      </c>
      <c r="C1114" s="42">
        <f ca="1">Inputs!$B$2/B1114</f>
        <v>163.40983606557376</v>
      </c>
      <c r="D1114" s="43">
        <f ca="1">WORKDAY(Inputs!$B$3, ROUND(C1114, 0),Sheet2!$A$2:$A$21)</f>
        <v>46255</v>
      </c>
    </row>
    <row r="1115" spans="1:4" x14ac:dyDescent="0.25">
      <c r="A1115" s="42">
        <f t="shared" si="19"/>
        <v>1114</v>
      </c>
      <c r="B1115" s="42" cm="1">
        <f t="array" aca="1" ref="B1115" ca="1">INDEX(Historical!$A$1:$A$18, RANDBETWEEN(1, COUNTA(Historical!$A$1:$A$18)))</f>
        <v>1.3214285714285714</v>
      </c>
      <c r="C1115" s="42">
        <f ca="1">Inputs!$B$2/B1115</f>
        <v>169.51351351351352</v>
      </c>
      <c r="D1115" s="43">
        <f ca="1">WORKDAY(Inputs!$B$3, ROUND(C1115, 0),Sheet2!$A$2:$A$21)</f>
        <v>46266</v>
      </c>
    </row>
    <row r="1116" spans="1:4" x14ac:dyDescent="0.25">
      <c r="A1116" s="42">
        <f t="shared" si="19"/>
        <v>1115</v>
      </c>
      <c r="B1116" s="42" cm="1">
        <f t="array" aca="1" ref="B1116" ca="1">INDEX(Historical!$A$1:$A$18, RANDBETWEEN(1, COUNTA(Historical!$A$1:$A$18)))</f>
        <v>1.3214285714285714</v>
      </c>
      <c r="C1116" s="42">
        <f ca="1">Inputs!$B$2/B1116</f>
        <v>169.51351351351352</v>
      </c>
      <c r="D1116" s="43">
        <f ca="1">WORKDAY(Inputs!$B$3, ROUND(C1116, 0),Sheet2!$A$2:$A$21)</f>
        <v>46266</v>
      </c>
    </row>
    <row r="1117" spans="1:4" x14ac:dyDescent="0.25">
      <c r="A1117" s="42">
        <f t="shared" si="19"/>
        <v>1116</v>
      </c>
      <c r="B1117" s="42" cm="1">
        <f t="array" aca="1" ref="B1117" ca="1">INDEX(Historical!$A$1:$A$18, RANDBETWEEN(1, COUNTA(Historical!$A$1:$A$18)))</f>
        <v>1.5</v>
      </c>
      <c r="C1117" s="42">
        <f ca="1">Inputs!$B$2/B1117</f>
        <v>149.33333333333334</v>
      </c>
      <c r="D1117" s="43">
        <f ca="1">WORKDAY(Inputs!$B$3, ROUND(C1117, 0),Sheet2!$A$2:$A$21)</f>
        <v>46237</v>
      </c>
    </row>
    <row r="1118" spans="1:4" x14ac:dyDescent="0.25">
      <c r="A1118" s="42">
        <f t="shared" si="19"/>
        <v>1117</v>
      </c>
      <c r="B1118" s="42" cm="1">
        <f t="array" aca="1" ref="B1118" ca="1">INDEX(Historical!$A$1:$A$18, RANDBETWEEN(1, COUNTA(Historical!$A$1:$A$18)))</f>
        <v>1.303030303030303</v>
      </c>
      <c r="C1118" s="42">
        <f ca="1">Inputs!$B$2/B1118</f>
        <v>171.90697674418604</v>
      </c>
      <c r="D1118" s="43">
        <f ca="1">WORKDAY(Inputs!$B$3, ROUND(C1118, 0),Sheet2!$A$2:$A$21)</f>
        <v>46268</v>
      </c>
    </row>
    <row r="1119" spans="1:4" x14ac:dyDescent="0.25">
      <c r="A1119" s="42">
        <f t="shared" si="19"/>
        <v>1118</v>
      </c>
      <c r="B1119" s="42" cm="1">
        <f t="array" aca="1" ref="B1119" ca="1">INDEX(Historical!$A$1:$A$18, RANDBETWEEN(1, COUNTA(Historical!$A$1:$A$18)))</f>
        <v>1.375</v>
      </c>
      <c r="C1119" s="42">
        <f ca="1">Inputs!$B$2/B1119</f>
        <v>162.90909090909091</v>
      </c>
      <c r="D1119" s="43">
        <f ca="1">WORKDAY(Inputs!$B$3, ROUND(C1119, 0),Sheet2!$A$2:$A$21)</f>
        <v>46255</v>
      </c>
    </row>
    <row r="1120" spans="1:4" x14ac:dyDescent="0.25">
      <c r="A1120" s="42">
        <f t="shared" si="19"/>
        <v>1119</v>
      </c>
      <c r="B1120" s="42" cm="1">
        <f t="array" aca="1" ref="B1120" ca="1">INDEX(Historical!$A$1:$A$18, RANDBETWEEN(1, COUNTA(Historical!$A$1:$A$18)))</f>
        <v>1.375</v>
      </c>
      <c r="C1120" s="42">
        <f ca="1">Inputs!$B$2/B1120</f>
        <v>162.90909090909091</v>
      </c>
      <c r="D1120" s="43">
        <f ca="1">WORKDAY(Inputs!$B$3, ROUND(C1120, 0),Sheet2!$A$2:$A$21)</f>
        <v>46255</v>
      </c>
    </row>
    <row r="1121" spans="1:4" x14ac:dyDescent="0.25">
      <c r="A1121" s="42">
        <f t="shared" si="19"/>
        <v>1120</v>
      </c>
      <c r="B1121" s="42" cm="1">
        <f t="array" aca="1" ref="B1121" ca="1">INDEX(Historical!$A$1:$A$18, RANDBETWEEN(1, COUNTA(Historical!$A$1:$A$18)))</f>
        <v>1.4137931034482758</v>
      </c>
      <c r="C1121" s="42">
        <f ca="1">Inputs!$B$2/B1121</f>
        <v>158.4390243902439</v>
      </c>
      <c r="D1121" s="43">
        <f ca="1">WORKDAY(Inputs!$B$3, ROUND(C1121, 0),Sheet2!$A$2:$A$21)</f>
        <v>46248</v>
      </c>
    </row>
    <row r="1122" spans="1:4" x14ac:dyDescent="0.25">
      <c r="A1122" s="42">
        <f t="shared" si="19"/>
        <v>1121</v>
      </c>
      <c r="B1122" s="42" cm="1">
        <f t="array" aca="1" ref="B1122" ca="1">INDEX(Historical!$A$1:$A$18, RANDBETWEEN(1, COUNTA(Historical!$A$1:$A$18)))</f>
        <v>1.3611111111111112</v>
      </c>
      <c r="C1122" s="42">
        <f ca="1">Inputs!$B$2/B1122</f>
        <v>164.57142857142856</v>
      </c>
      <c r="D1122" s="43">
        <f ca="1">WORKDAY(Inputs!$B$3, ROUND(C1122, 0),Sheet2!$A$2:$A$21)</f>
        <v>46259</v>
      </c>
    </row>
    <row r="1123" spans="1:4" x14ac:dyDescent="0.25">
      <c r="A1123" s="42">
        <f t="shared" si="19"/>
        <v>1122</v>
      </c>
      <c r="B1123" s="42" cm="1">
        <f t="array" aca="1" ref="B1123" ca="1">INDEX(Historical!$A$1:$A$18, RANDBETWEEN(1, COUNTA(Historical!$A$1:$A$18)))</f>
        <v>1.1666666666666667</v>
      </c>
      <c r="C1123" s="42">
        <f ca="1">Inputs!$B$2/B1123</f>
        <v>192</v>
      </c>
      <c r="D1123" s="43">
        <f ca="1">WORKDAY(Inputs!$B$3, ROUND(C1123, 0),Sheet2!$A$2:$A$21)</f>
        <v>46297</v>
      </c>
    </row>
    <row r="1124" spans="1:4" x14ac:dyDescent="0.25">
      <c r="A1124" s="42">
        <f t="shared" si="19"/>
        <v>1123</v>
      </c>
      <c r="B1124" s="42" cm="1">
        <f t="array" aca="1" ref="B1124" ca="1">INDEX(Historical!$A$1:$A$18, RANDBETWEEN(1, COUNTA(Historical!$A$1:$A$18)))</f>
        <v>1.2941176470588236</v>
      </c>
      <c r="C1124" s="42">
        <f ca="1">Inputs!$B$2/B1124</f>
        <v>173.09090909090909</v>
      </c>
      <c r="D1124" s="43">
        <f ca="1">WORKDAY(Inputs!$B$3, ROUND(C1124, 0),Sheet2!$A$2:$A$21)</f>
        <v>46269</v>
      </c>
    </row>
    <row r="1125" spans="1:4" x14ac:dyDescent="0.25">
      <c r="A1125" s="42">
        <f t="shared" si="19"/>
        <v>1124</v>
      </c>
      <c r="B1125" s="42" cm="1">
        <f t="array" aca="1" ref="B1125" ca="1">INDEX(Historical!$A$1:$A$18, RANDBETWEEN(1, COUNTA(Historical!$A$1:$A$18)))</f>
        <v>1.368421052631579</v>
      </c>
      <c r="C1125" s="42">
        <f ca="1">Inputs!$B$2/B1125</f>
        <v>163.69230769230768</v>
      </c>
      <c r="D1125" s="43">
        <f ca="1">WORKDAY(Inputs!$B$3, ROUND(C1125, 0),Sheet2!$A$2:$A$21)</f>
        <v>46258</v>
      </c>
    </row>
    <row r="1126" spans="1:4" x14ac:dyDescent="0.25">
      <c r="A1126" s="42">
        <f t="shared" si="19"/>
        <v>1125</v>
      </c>
      <c r="B1126" s="42" cm="1">
        <f t="array" aca="1" ref="B1126" ca="1">INDEX(Historical!$A$1:$A$18, RANDBETWEEN(1, COUNTA(Historical!$A$1:$A$18)))</f>
        <v>1.375</v>
      </c>
      <c r="C1126" s="42">
        <f ca="1">Inputs!$B$2/B1126</f>
        <v>162.90909090909091</v>
      </c>
      <c r="D1126" s="43">
        <f ca="1">WORKDAY(Inputs!$B$3, ROUND(C1126, 0),Sheet2!$A$2:$A$21)</f>
        <v>46255</v>
      </c>
    </row>
    <row r="1127" spans="1:4" x14ac:dyDescent="0.25">
      <c r="A1127" s="42">
        <f t="shared" si="19"/>
        <v>1126</v>
      </c>
      <c r="B1127" s="42" cm="1">
        <f t="array" aca="1" ref="B1127" ca="1">INDEX(Historical!$A$1:$A$18, RANDBETWEEN(1, COUNTA(Historical!$A$1:$A$18)))</f>
        <v>1.375</v>
      </c>
      <c r="C1127" s="42">
        <f ca="1">Inputs!$B$2/B1127</f>
        <v>162.90909090909091</v>
      </c>
      <c r="D1127" s="43">
        <f ca="1">WORKDAY(Inputs!$B$3, ROUND(C1127, 0),Sheet2!$A$2:$A$21)</f>
        <v>46255</v>
      </c>
    </row>
    <row r="1128" spans="1:4" x14ac:dyDescent="0.25">
      <c r="A1128" s="42">
        <f t="shared" si="19"/>
        <v>1127</v>
      </c>
      <c r="B1128" s="42" cm="1">
        <f t="array" aca="1" ref="B1128" ca="1">INDEX(Historical!$A$1:$A$18, RANDBETWEEN(1, COUNTA(Historical!$A$1:$A$18)))</f>
        <v>1.303030303030303</v>
      </c>
      <c r="C1128" s="42">
        <f ca="1">Inputs!$B$2/B1128</f>
        <v>171.90697674418604</v>
      </c>
      <c r="D1128" s="43">
        <f ca="1">WORKDAY(Inputs!$B$3, ROUND(C1128, 0),Sheet2!$A$2:$A$21)</f>
        <v>46268</v>
      </c>
    </row>
    <row r="1129" spans="1:4" x14ac:dyDescent="0.25">
      <c r="A1129" s="42">
        <f t="shared" si="19"/>
        <v>1128</v>
      </c>
      <c r="B1129" s="42" cm="1">
        <f t="array" aca="1" ref="B1129" ca="1">INDEX(Historical!$A$1:$A$18, RANDBETWEEN(1, COUNTA(Historical!$A$1:$A$18)))</f>
        <v>1.3559322033898304</v>
      </c>
      <c r="C1129" s="42">
        <f ca="1">Inputs!$B$2/B1129</f>
        <v>165.20000000000002</v>
      </c>
      <c r="D1129" s="43">
        <f ca="1">WORKDAY(Inputs!$B$3, ROUND(C1129, 0),Sheet2!$A$2:$A$21)</f>
        <v>46259</v>
      </c>
    </row>
    <row r="1130" spans="1:4" x14ac:dyDescent="0.25">
      <c r="A1130" s="42">
        <f t="shared" si="19"/>
        <v>1129</v>
      </c>
      <c r="B1130" s="42" cm="1">
        <f t="array" aca="1" ref="B1130" ca="1">INDEX(Historical!$A$1:$A$18, RANDBETWEEN(1, COUNTA(Historical!$A$1:$A$18)))</f>
        <v>1.3707865168539326</v>
      </c>
      <c r="C1130" s="42">
        <f ca="1">Inputs!$B$2/B1130</f>
        <v>163.40983606557376</v>
      </c>
      <c r="D1130" s="43">
        <f ca="1">WORKDAY(Inputs!$B$3, ROUND(C1130, 0),Sheet2!$A$2:$A$21)</f>
        <v>46255</v>
      </c>
    </row>
    <row r="1131" spans="1:4" x14ac:dyDescent="0.25">
      <c r="A1131" s="42">
        <f t="shared" si="19"/>
        <v>1130</v>
      </c>
      <c r="B1131" s="42" cm="1">
        <f t="array" aca="1" ref="B1131" ca="1">INDEX(Historical!$A$1:$A$18, RANDBETWEEN(1, COUNTA(Historical!$A$1:$A$18)))</f>
        <v>1.4347826086956521</v>
      </c>
      <c r="C1131" s="42">
        <f ca="1">Inputs!$B$2/B1131</f>
        <v>156.12121212121212</v>
      </c>
      <c r="D1131" s="43">
        <f ca="1">WORKDAY(Inputs!$B$3, ROUND(C1131, 0),Sheet2!$A$2:$A$21)</f>
        <v>46246</v>
      </c>
    </row>
    <row r="1132" spans="1:4" x14ac:dyDescent="0.25">
      <c r="A1132" s="42">
        <f t="shared" si="19"/>
        <v>1131</v>
      </c>
      <c r="B1132" s="42" cm="1">
        <f t="array" aca="1" ref="B1132" ca="1">INDEX(Historical!$A$1:$A$18, RANDBETWEEN(1, COUNTA(Historical!$A$1:$A$18)))</f>
        <v>1.4761904761904763</v>
      </c>
      <c r="C1132" s="42">
        <f ca="1">Inputs!$B$2/B1132</f>
        <v>151.74193548387095</v>
      </c>
      <c r="D1132" s="43">
        <f ca="1">WORKDAY(Inputs!$B$3, ROUND(C1132, 0),Sheet2!$A$2:$A$21)</f>
        <v>46240</v>
      </c>
    </row>
    <row r="1133" spans="1:4" x14ac:dyDescent="0.25">
      <c r="A1133" s="42">
        <f t="shared" si="19"/>
        <v>1132</v>
      </c>
      <c r="B1133" s="42" cm="1">
        <f t="array" aca="1" ref="B1133" ca="1">INDEX(Historical!$A$1:$A$18, RANDBETWEEN(1, COUNTA(Historical!$A$1:$A$18)))</f>
        <v>1.290909090909091</v>
      </c>
      <c r="C1133" s="42">
        <f ca="1">Inputs!$B$2/B1133</f>
        <v>173.52112676056336</v>
      </c>
      <c r="D1133" s="43">
        <f ca="1">WORKDAY(Inputs!$B$3, ROUND(C1133, 0),Sheet2!$A$2:$A$21)</f>
        <v>46273</v>
      </c>
    </row>
    <row r="1134" spans="1:4" x14ac:dyDescent="0.25">
      <c r="A1134" s="42">
        <f t="shared" si="19"/>
        <v>1133</v>
      </c>
      <c r="B1134" s="42" cm="1">
        <f t="array" aca="1" ref="B1134" ca="1">INDEX(Historical!$A$1:$A$18, RANDBETWEEN(1, COUNTA(Historical!$A$1:$A$18)))</f>
        <v>1.303030303030303</v>
      </c>
      <c r="C1134" s="42">
        <f ca="1">Inputs!$B$2/B1134</f>
        <v>171.90697674418604</v>
      </c>
      <c r="D1134" s="43">
        <f ca="1">WORKDAY(Inputs!$B$3, ROUND(C1134, 0),Sheet2!$A$2:$A$21)</f>
        <v>46268</v>
      </c>
    </row>
    <row r="1135" spans="1:4" x14ac:dyDescent="0.25">
      <c r="A1135" s="42">
        <f t="shared" si="19"/>
        <v>1134</v>
      </c>
      <c r="B1135" s="42" cm="1">
        <f t="array" aca="1" ref="B1135" ca="1">INDEX(Historical!$A$1:$A$18, RANDBETWEEN(1, COUNTA(Historical!$A$1:$A$18)))</f>
        <v>1.3214285714285714</v>
      </c>
      <c r="C1135" s="42">
        <f ca="1">Inputs!$B$2/B1135</f>
        <v>169.51351351351352</v>
      </c>
      <c r="D1135" s="43">
        <f ca="1">WORKDAY(Inputs!$B$3, ROUND(C1135, 0),Sheet2!$A$2:$A$21)</f>
        <v>46266</v>
      </c>
    </row>
    <row r="1136" spans="1:4" x14ac:dyDescent="0.25">
      <c r="A1136" s="42">
        <f t="shared" si="19"/>
        <v>1135</v>
      </c>
      <c r="B1136" s="42" cm="1">
        <f t="array" aca="1" ref="B1136" ca="1">INDEX(Historical!$A$1:$A$18, RANDBETWEEN(1, COUNTA(Historical!$A$1:$A$18)))</f>
        <v>1.5</v>
      </c>
      <c r="C1136" s="42">
        <f ca="1">Inputs!$B$2/B1136</f>
        <v>149.33333333333334</v>
      </c>
      <c r="D1136" s="43">
        <f ca="1">WORKDAY(Inputs!$B$3, ROUND(C1136, 0),Sheet2!$A$2:$A$21)</f>
        <v>46237</v>
      </c>
    </row>
    <row r="1137" spans="1:4" x14ac:dyDescent="0.25">
      <c r="A1137" s="42">
        <f t="shared" si="19"/>
        <v>1136</v>
      </c>
      <c r="B1137" s="42" cm="1">
        <f t="array" aca="1" ref="B1137" ca="1">INDEX(Historical!$A$1:$A$18, RANDBETWEEN(1, COUNTA(Historical!$A$1:$A$18)))</f>
        <v>1.290909090909091</v>
      </c>
      <c r="C1137" s="42">
        <f ca="1">Inputs!$B$2/B1137</f>
        <v>173.52112676056336</v>
      </c>
      <c r="D1137" s="43">
        <f ca="1">WORKDAY(Inputs!$B$3, ROUND(C1137, 0),Sheet2!$A$2:$A$21)</f>
        <v>46273</v>
      </c>
    </row>
    <row r="1138" spans="1:4" x14ac:dyDescent="0.25">
      <c r="A1138" s="42">
        <f t="shared" si="19"/>
        <v>1137</v>
      </c>
      <c r="B1138" s="42" cm="1">
        <f t="array" aca="1" ref="B1138" ca="1">INDEX(Historical!$A$1:$A$18, RANDBETWEEN(1, COUNTA(Historical!$A$1:$A$18)))</f>
        <v>1.5</v>
      </c>
      <c r="C1138" s="42">
        <f ca="1">Inputs!$B$2/B1138</f>
        <v>149.33333333333334</v>
      </c>
      <c r="D1138" s="43">
        <f ca="1">WORKDAY(Inputs!$B$3, ROUND(C1138, 0),Sheet2!$A$2:$A$21)</f>
        <v>46237</v>
      </c>
    </row>
    <row r="1139" spans="1:4" x14ac:dyDescent="0.25">
      <c r="A1139" s="42">
        <f t="shared" si="19"/>
        <v>1138</v>
      </c>
      <c r="B1139" s="42" cm="1">
        <f t="array" aca="1" ref="B1139" ca="1">INDEX(Historical!$A$1:$A$18, RANDBETWEEN(1, COUNTA(Historical!$A$1:$A$18)))</f>
        <v>1.3617021276595744</v>
      </c>
      <c r="C1139" s="42">
        <f ca="1">Inputs!$B$2/B1139</f>
        <v>164.5</v>
      </c>
      <c r="D1139" s="43">
        <f ca="1">WORKDAY(Inputs!$B$3, ROUND(C1139, 0),Sheet2!$A$2:$A$21)</f>
        <v>46259</v>
      </c>
    </row>
    <row r="1140" spans="1:4" x14ac:dyDescent="0.25">
      <c r="A1140" s="42">
        <f t="shared" si="19"/>
        <v>1139</v>
      </c>
      <c r="B1140" s="42" cm="1">
        <f t="array" aca="1" ref="B1140" ca="1">INDEX(Historical!$A$1:$A$18, RANDBETWEEN(1, COUNTA(Historical!$A$1:$A$18)))</f>
        <v>1.303030303030303</v>
      </c>
      <c r="C1140" s="42">
        <f ca="1">Inputs!$B$2/B1140</f>
        <v>171.90697674418604</v>
      </c>
      <c r="D1140" s="43">
        <f ca="1">WORKDAY(Inputs!$B$3, ROUND(C1140, 0),Sheet2!$A$2:$A$21)</f>
        <v>46268</v>
      </c>
    </row>
    <row r="1141" spans="1:4" x14ac:dyDescent="0.25">
      <c r="A1141" s="42">
        <f t="shared" si="19"/>
        <v>1140</v>
      </c>
      <c r="B1141" s="42" cm="1">
        <f t="array" aca="1" ref="B1141" ca="1">INDEX(Historical!$A$1:$A$18, RANDBETWEEN(1, COUNTA(Historical!$A$1:$A$18)))</f>
        <v>1.4347826086956521</v>
      </c>
      <c r="C1141" s="42">
        <f ca="1">Inputs!$B$2/B1141</f>
        <v>156.12121212121212</v>
      </c>
      <c r="D1141" s="43">
        <f ca="1">WORKDAY(Inputs!$B$3, ROUND(C1141, 0),Sheet2!$A$2:$A$21)</f>
        <v>46246</v>
      </c>
    </row>
    <row r="1142" spans="1:4" x14ac:dyDescent="0.25">
      <c r="A1142" s="42">
        <f t="shared" si="19"/>
        <v>1141</v>
      </c>
      <c r="B1142" s="42" cm="1">
        <f t="array" aca="1" ref="B1142" ca="1">INDEX(Historical!$A$1:$A$18, RANDBETWEEN(1, COUNTA(Historical!$A$1:$A$18)))</f>
        <v>1.4347826086956521</v>
      </c>
      <c r="C1142" s="42">
        <f ca="1">Inputs!$B$2/B1142</f>
        <v>156.12121212121212</v>
      </c>
      <c r="D1142" s="43">
        <f ca="1">WORKDAY(Inputs!$B$3, ROUND(C1142, 0),Sheet2!$A$2:$A$21)</f>
        <v>46246</v>
      </c>
    </row>
    <row r="1143" spans="1:4" x14ac:dyDescent="0.25">
      <c r="A1143" s="42">
        <f t="shared" si="19"/>
        <v>1142</v>
      </c>
      <c r="B1143" s="42" cm="1">
        <f t="array" aca="1" ref="B1143" ca="1">INDEX(Historical!$A$1:$A$18, RANDBETWEEN(1, COUNTA(Historical!$A$1:$A$18)))</f>
        <v>1.303030303030303</v>
      </c>
      <c r="C1143" s="42">
        <f ca="1">Inputs!$B$2/B1143</f>
        <v>171.90697674418604</v>
      </c>
      <c r="D1143" s="43">
        <f ca="1">WORKDAY(Inputs!$B$3, ROUND(C1143, 0),Sheet2!$A$2:$A$21)</f>
        <v>46268</v>
      </c>
    </row>
    <row r="1144" spans="1:4" x14ac:dyDescent="0.25">
      <c r="A1144" s="42">
        <f t="shared" si="19"/>
        <v>1143</v>
      </c>
      <c r="B1144" s="42" cm="1">
        <f t="array" aca="1" ref="B1144" ca="1">INDEX(Historical!$A$1:$A$18, RANDBETWEEN(1, COUNTA(Historical!$A$1:$A$18)))</f>
        <v>1.3707865168539326</v>
      </c>
      <c r="C1144" s="42">
        <f ca="1">Inputs!$B$2/B1144</f>
        <v>163.40983606557376</v>
      </c>
      <c r="D1144" s="43">
        <f ca="1">WORKDAY(Inputs!$B$3, ROUND(C1144, 0),Sheet2!$A$2:$A$21)</f>
        <v>46255</v>
      </c>
    </row>
    <row r="1145" spans="1:4" x14ac:dyDescent="0.25">
      <c r="A1145" s="42">
        <f t="shared" si="19"/>
        <v>1144</v>
      </c>
      <c r="B1145" s="42" cm="1">
        <f t="array" aca="1" ref="B1145" ca="1">INDEX(Historical!$A$1:$A$18, RANDBETWEEN(1, COUNTA(Historical!$A$1:$A$18)))</f>
        <v>1.303030303030303</v>
      </c>
      <c r="C1145" s="42">
        <f ca="1">Inputs!$B$2/B1145</f>
        <v>171.90697674418604</v>
      </c>
      <c r="D1145" s="43">
        <f ca="1">WORKDAY(Inputs!$B$3, ROUND(C1145, 0),Sheet2!$A$2:$A$21)</f>
        <v>46268</v>
      </c>
    </row>
    <row r="1146" spans="1:4" x14ac:dyDescent="0.25">
      <c r="A1146" s="42">
        <f t="shared" si="19"/>
        <v>1145</v>
      </c>
      <c r="B1146" s="42" cm="1">
        <f t="array" aca="1" ref="B1146" ca="1">INDEX(Historical!$A$1:$A$18, RANDBETWEEN(1, COUNTA(Historical!$A$1:$A$18)))</f>
        <v>1.5</v>
      </c>
      <c r="C1146" s="42">
        <f ca="1">Inputs!$B$2/B1146</f>
        <v>149.33333333333334</v>
      </c>
      <c r="D1146" s="43">
        <f ca="1">WORKDAY(Inputs!$B$3, ROUND(C1146, 0),Sheet2!$A$2:$A$21)</f>
        <v>46237</v>
      </c>
    </row>
    <row r="1147" spans="1:4" x14ac:dyDescent="0.25">
      <c r="A1147" s="42">
        <f t="shared" si="19"/>
        <v>1146</v>
      </c>
      <c r="B1147" s="42" cm="1">
        <f t="array" aca="1" ref="B1147" ca="1">INDEX(Historical!$A$1:$A$18, RANDBETWEEN(1, COUNTA(Historical!$A$1:$A$18)))</f>
        <v>1.368421052631579</v>
      </c>
      <c r="C1147" s="42">
        <f ca="1">Inputs!$B$2/B1147</f>
        <v>163.69230769230768</v>
      </c>
      <c r="D1147" s="43">
        <f ca="1">WORKDAY(Inputs!$B$3, ROUND(C1147, 0),Sheet2!$A$2:$A$21)</f>
        <v>46258</v>
      </c>
    </row>
    <row r="1148" spans="1:4" x14ac:dyDescent="0.25">
      <c r="A1148" s="42">
        <f t="shared" si="19"/>
        <v>1147</v>
      </c>
      <c r="B1148" s="42" cm="1">
        <f t="array" aca="1" ref="B1148" ca="1">INDEX(Historical!$A$1:$A$18, RANDBETWEEN(1, COUNTA(Historical!$A$1:$A$18)))</f>
        <v>1.303030303030303</v>
      </c>
      <c r="C1148" s="42">
        <f ca="1">Inputs!$B$2/B1148</f>
        <v>171.90697674418604</v>
      </c>
      <c r="D1148" s="43">
        <f ca="1">WORKDAY(Inputs!$B$3, ROUND(C1148, 0),Sheet2!$A$2:$A$21)</f>
        <v>46268</v>
      </c>
    </row>
    <row r="1149" spans="1:4" x14ac:dyDescent="0.25">
      <c r="A1149" s="42">
        <f t="shared" si="19"/>
        <v>1148</v>
      </c>
      <c r="B1149" s="42" cm="1">
        <f t="array" aca="1" ref="B1149" ca="1">INDEX(Historical!$A$1:$A$18, RANDBETWEEN(1, COUNTA(Historical!$A$1:$A$18)))</f>
        <v>1.3611111111111112</v>
      </c>
      <c r="C1149" s="42">
        <f ca="1">Inputs!$B$2/B1149</f>
        <v>164.57142857142856</v>
      </c>
      <c r="D1149" s="43">
        <f ca="1">WORKDAY(Inputs!$B$3, ROUND(C1149, 0),Sheet2!$A$2:$A$21)</f>
        <v>46259</v>
      </c>
    </row>
    <row r="1150" spans="1:4" x14ac:dyDescent="0.25">
      <c r="A1150" s="42">
        <f t="shared" si="19"/>
        <v>1149</v>
      </c>
      <c r="B1150" s="42" cm="1">
        <f t="array" aca="1" ref="B1150" ca="1">INDEX(Historical!$A$1:$A$18, RANDBETWEEN(1, COUNTA(Historical!$A$1:$A$18)))</f>
        <v>1.375</v>
      </c>
      <c r="C1150" s="42">
        <f ca="1">Inputs!$B$2/B1150</f>
        <v>162.90909090909091</v>
      </c>
      <c r="D1150" s="43">
        <f ca="1">WORKDAY(Inputs!$B$3, ROUND(C1150, 0),Sheet2!$A$2:$A$21)</f>
        <v>46255</v>
      </c>
    </row>
    <row r="1151" spans="1:4" x14ac:dyDescent="0.25">
      <c r="A1151" s="42">
        <f t="shared" si="19"/>
        <v>1150</v>
      </c>
      <c r="B1151" s="42" cm="1">
        <f t="array" aca="1" ref="B1151" ca="1">INDEX(Historical!$A$1:$A$18, RANDBETWEEN(1, COUNTA(Historical!$A$1:$A$18)))</f>
        <v>1.3707865168539326</v>
      </c>
      <c r="C1151" s="42">
        <f ca="1">Inputs!$B$2/B1151</f>
        <v>163.40983606557376</v>
      </c>
      <c r="D1151" s="43">
        <f ca="1">WORKDAY(Inputs!$B$3, ROUND(C1151, 0),Sheet2!$A$2:$A$21)</f>
        <v>46255</v>
      </c>
    </row>
    <row r="1152" spans="1:4" x14ac:dyDescent="0.25">
      <c r="A1152" s="42">
        <f t="shared" si="19"/>
        <v>1151</v>
      </c>
      <c r="B1152" s="42" cm="1">
        <f t="array" aca="1" ref="B1152" ca="1">INDEX(Historical!$A$1:$A$18, RANDBETWEEN(1, COUNTA(Historical!$A$1:$A$18)))</f>
        <v>1.4137931034482758</v>
      </c>
      <c r="C1152" s="42">
        <f ca="1">Inputs!$B$2/B1152</f>
        <v>158.4390243902439</v>
      </c>
      <c r="D1152" s="43">
        <f ca="1">WORKDAY(Inputs!$B$3, ROUND(C1152, 0),Sheet2!$A$2:$A$21)</f>
        <v>46248</v>
      </c>
    </row>
    <row r="1153" spans="1:4" x14ac:dyDescent="0.25">
      <c r="A1153" s="42">
        <f t="shared" si="19"/>
        <v>1152</v>
      </c>
      <c r="B1153" s="42" cm="1">
        <f t="array" aca="1" ref="B1153" ca="1">INDEX(Historical!$A$1:$A$18, RANDBETWEEN(1, COUNTA(Historical!$A$1:$A$18)))</f>
        <v>1.303030303030303</v>
      </c>
      <c r="C1153" s="42">
        <f ca="1">Inputs!$B$2/B1153</f>
        <v>171.90697674418604</v>
      </c>
      <c r="D1153" s="43">
        <f ca="1">WORKDAY(Inputs!$B$3, ROUND(C1153, 0),Sheet2!$A$2:$A$21)</f>
        <v>46268</v>
      </c>
    </row>
    <row r="1154" spans="1:4" x14ac:dyDescent="0.25">
      <c r="A1154" s="42">
        <f t="shared" si="19"/>
        <v>1153</v>
      </c>
      <c r="B1154" s="42" cm="1">
        <f t="array" aca="1" ref="B1154" ca="1">INDEX(Historical!$A$1:$A$18, RANDBETWEEN(1, COUNTA(Historical!$A$1:$A$18)))</f>
        <v>1.5</v>
      </c>
      <c r="C1154" s="42">
        <f ca="1">Inputs!$B$2/B1154</f>
        <v>149.33333333333334</v>
      </c>
      <c r="D1154" s="43">
        <f ca="1">WORKDAY(Inputs!$B$3, ROUND(C1154, 0),Sheet2!$A$2:$A$21)</f>
        <v>46237</v>
      </c>
    </row>
    <row r="1155" spans="1:4" x14ac:dyDescent="0.25">
      <c r="A1155" s="42">
        <f t="shared" ref="A1155:A1218" si="20">ROW()-1</f>
        <v>1154</v>
      </c>
      <c r="B1155" s="42" cm="1">
        <f t="array" aca="1" ref="B1155" ca="1">INDEX(Historical!$A$1:$A$18, RANDBETWEEN(1, COUNTA(Historical!$A$1:$A$18)))</f>
        <v>1.375</v>
      </c>
      <c r="C1155" s="42">
        <f ca="1">Inputs!$B$2/B1155</f>
        <v>162.90909090909091</v>
      </c>
      <c r="D1155" s="43">
        <f ca="1">WORKDAY(Inputs!$B$3, ROUND(C1155, 0),Sheet2!$A$2:$A$21)</f>
        <v>46255</v>
      </c>
    </row>
    <row r="1156" spans="1:4" x14ac:dyDescent="0.25">
      <c r="A1156" s="42">
        <f t="shared" si="20"/>
        <v>1155</v>
      </c>
      <c r="B1156" s="42" cm="1">
        <f t="array" aca="1" ref="B1156" ca="1">INDEX(Historical!$A$1:$A$18, RANDBETWEEN(1, COUNTA(Historical!$A$1:$A$18)))</f>
        <v>1.3214285714285714</v>
      </c>
      <c r="C1156" s="42">
        <f ca="1">Inputs!$B$2/B1156</f>
        <v>169.51351351351352</v>
      </c>
      <c r="D1156" s="43">
        <f ca="1">WORKDAY(Inputs!$B$3, ROUND(C1156, 0),Sheet2!$A$2:$A$21)</f>
        <v>46266</v>
      </c>
    </row>
    <row r="1157" spans="1:4" x14ac:dyDescent="0.25">
      <c r="A1157" s="42">
        <f t="shared" si="20"/>
        <v>1156</v>
      </c>
      <c r="B1157" s="42" cm="1">
        <f t="array" aca="1" ref="B1157" ca="1">INDEX(Historical!$A$1:$A$18, RANDBETWEEN(1, COUNTA(Historical!$A$1:$A$18)))</f>
        <v>1.3611111111111112</v>
      </c>
      <c r="C1157" s="42">
        <f ca="1">Inputs!$B$2/B1157</f>
        <v>164.57142857142856</v>
      </c>
      <c r="D1157" s="43">
        <f ca="1">WORKDAY(Inputs!$B$3, ROUND(C1157, 0),Sheet2!$A$2:$A$21)</f>
        <v>46259</v>
      </c>
    </row>
    <row r="1158" spans="1:4" x14ac:dyDescent="0.25">
      <c r="A1158" s="42">
        <f t="shared" si="20"/>
        <v>1157</v>
      </c>
      <c r="B1158" s="42" cm="1">
        <f t="array" aca="1" ref="B1158" ca="1">INDEX(Historical!$A$1:$A$18, RANDBETWEEN(1, COUNTA(Historical!$A$1:$A$18)))</f>
        <v>1.4347826086956521</v>
      </c>
      <c r="C1158" s="42">
        <f ca="1">Inputs!$B$2/B1158</f>
        <v>156.12121212121212</v>
      </c>
      <c r="D1158" s="43">
        <f ca="1">WORKDAY(Inputs!$B$3, ROUND(C1158, 0),Sheet2!$A$2:$A$21)</f>
        <v>46246</v>
      </c>
    </row>
    <row r="1159" spans="1:4" x14ac:dyDescent="0.25">
      <c r="A1159" s="42">
        <f t="shared" si="20"/>
        <v>1158</v>
      </c>
      <c r="B1159" s="42" cm="1">
        <f t="array" aca="1" ref="B1159" ca="1">INDEX(Historical!$A$1:$A$18, RANDBETWEEN(1, COUNTA(Historical!$A$1:$A$18)))</f>
        <v>1.3611111111111112</v>
      </c>
      <c r="C1159" s="42">
        <f ca="1">Inputs!$B$2/B1159</f>
        <v>164.57142857142856</v>
      </c>
      <c r="D1159" s="43">
        <f ca="1">WORKDAY(Inputs!$B$3, ROUND(C1159, 0),Sheet2!$A$2:$A$21)</f>
        <v>46259</v>
      </c>
    </row>
    <row r="1160" spans="1:4" x14ac:dyDescent="0.25">
      <c r="A1160" s="42">
        <f t="shared" si="20"/>
        <v>1159</v>
      </c>
      <c r="B1160" s="42" cm="1">
        <f t="array" aca="1" ref="B1160" ca="1">INDEX(Historical!$A$1:$A$18, RANDBETWEEN(1, COUNTA(Historical!$A$1:$A$18)))</f>
        <v>1.3157894736842106</v>
      </c>
      <c r="C1160" s="42">
        <f ca="1">Inputs!$B$2/B1160</f>
        <v>170.23999999999998</v>
      </c>
      <c r="D1160" s="43">
        <f ca="1">WORKDAY(Inputs!$B$3, ROUND(C1160, 0),Sheet2!$A$2:$A$21)</f>
        <v>46266</v>
      </c>
    </row>
    <row r="1161" spans="1:4" x14ac:dyDescent="0.25">
      <c r="A1161" s="42">
        <f t="shared" si="20"/>
        <v>1160</v>
      </c>
      <c r="B1161" s="42" cm="1">
        <f t="array" aca="1" ref="B1161" ca="1">INDEX(Historical!$A$1:$A$18, RANDBETWEEN(1, COUNTA(Historical!$A$1:$A$18)))</f>
        <v>1.375</v>
      </c>
      <c r="C1161" s="42">
        <f ca="1">Inputs!$B$2/B1161</f>
        <v>162.90909090909091</v>
      </c>
      <c r="D1161" s="43">
        <f ca="1">WORKDAY(Inputs!$B$3, ROUND(C1161, 0),Sheet2!$A$2:$A$21)</f>
        <v>46255</v>
      </c>
    </row>
    <row r="1162" spans="1:4" x14ac:dyDescent="0.25">
      <c r="A1162" s="42">
        <f t="shared" si="20"/>
        <v>1161</v>
      </c>
      <c r="B1162" s="42" cm="1">
        <f t="array" aca="1" ref="B1162" ca="1">INDEX(Historical!$A$1:$A$18, RANDBETWEEN(1, COUNTA(Historical!$A$1:$A$18)))</f>
        <v>1.368421052631579</v>
      </c>
      <c r="C1162" s="42">
        <f ca="1">Inputs!$B$2/B1162</f>
        <v>163.69230769230768</v>
      </c>
      <c r="D1162" s="43">
        <f ca="1">WORKDAY(Inputs!$B$3, ROUND(C1162, 0),Sheet2!$A$2:$A$21)</f>
        <v>46258</v>
      </c>
    </row>
    <row r="1163" spans="1:4" x14ac:dyDescent="0.25">
      <c r="A1163" s="42">
        <f t="shared" si="20"/>
        <v>1162</v>
      </c>
      <c r="B1163" s="42" cm="1">
        <f t="array" aca="1" ref="B1163" ca="1">INDEX(Historical!$A$1:$A$18, RANDBETWEEN(1, COUNTA(Historical!$A$1:$A$18)))</f>
        <v>1.3611111111111112</v>
      </c>
      <c r="C1163" s="42">
        <f ca="1">Inputs!$B$2/B1163</f>
        <v>164.57142857142856</v>
      </c>
      <c r="D1163" s="43">
        <f ca="1">WORKDAY(Inputs!$B$3, ROUND(C1163, 0),Sheet2!$A$2:$A$21)</f>
        <v>46259</v>
      </c>
    </row>
    <row r="1164" spans="1:4" x14ac:dyDescent="0.25">
      <c r="A1164" s="42">
        <f t="shared" si="20"/>
        <v>1163</v>
      </c>
      <c r="B1164" s="42" cm="1">
        <f t="array" aca="1" ref="B1164" ca="1">INDEX(Historical!$A$1:$A$18, RANDBETWEEN(1, COUNTA(Historical!$A$1:$A$18)))</f>
        <v>1.4347826086956521</v>
      </c>
      <c r="C1164" s="42">
        <f ca="1">Inputs!$B$2/B1164</f>
        <v>156.12121212121212</v>
      </c>
      <c r="D1164" s="43">
        <f ca="1">WORKDAY(Inputs!$B$3, ROUND(C1164, 0),Sheet2!$A$2:$A$21)</f>
        <v>46246</v>
      </c>
    </row>
    <row r="1165" spans="1:4" x14ac:dyDescent="0.25">
      <c r="A1165" s="42">
        <f t="shared" si="20"/>
        <v>1164</v>
      </c>
      <c r="B1165" s="42" cm="1">
        <f t="array" aca="1" ref="B1165" ca="1">INDEX(Historical!$A$1:$A$18, RANDBETWEEN(1, COUNTA(Historical!$A$1:$A$18)))</f>
        <v>1.4137931034482758</v>
      </c>
      <c r="C1165" s="42">
        <f ca="1">Inputs!$B$2/B1165</f>
        <v>158.4390243902439</v>
      </c>
      <c r="D1165" s="43">
        <f ca="1">WORKDAY(Inputs!$B$3, ROUND(C1165, 0),Sheet2!$A$2:$A$21)</f>
        <v>46248</v>
      </c>
    </row>
    <row r="1166" spans="1:4" x14ac:dyDescent="0.25">
      <c r="A1166" s="42">
        <f t="shared" si="20"/>
        <v>1165</v>
      </c>
      <c r="B1166" s="42" cm="1">
        <f t="array" aca="1" ref="B1166" ca="1">INDEX(Historical!$A$1:$A$18, RANDBETWEEN(1, COUNTA(Historical!$A$1:$A$18)))</f>
        <v>1.3559322033898304</v>
      </c>
      <c r="C1166" s="42">
        <f ca="1">Inputs!$B$2/B1166</f>
        <v>165.20000000000002</v>
      </c>
      <c r="D1166" s="43">
        <f ca="1">WORKDAY(Inputs!$B$3, ROUND(C1166, 0),Sheet2!$A$2:$A$21)</f>
        <v>46259</v>
      </c>
    </row>
    <row r="1167" spans="1:4" x14ac:dyDescent="0.25">
      <c r="A1167" s="42">
        <f t="shared" si="20"/>
        <v>1166</v>
      </c>
      <c r="B1167" s="42" cm="1">
        <f t="array" aca="1" ref="B1167" ca="1">INDEX(Historical!$A$1:$A$18, RANDBETWEEN(1, COUNTA(Historical!$A$1:$A$18)))</f>
        <v>1.4137931034482758</v>
      </c>
      <c r="C1167" s="42">
        <f ca="1">Inputs!$B$2/B1167</f>
        <v>158.4390243902439</v>
      </c>
      <c r="D1167" s="43">
        <f ca="1">WORKDAY(Inputs!$B$3, ROUND(C1167, 0),Sheet2!$A$2:$A$21)</f>
        <v>46248</v>
      </c>
    </row>
    <row r="1168" spans="1:4" x14ac:dyDescent="0.25">
      <c r="A1168" s="42">
        <f t="shared" si="20"/>
        <v>1167</v>
      </c>
      <c r="B1168" s="42" cm="1">
        <f t="array" aca="1" ref="B1168" ca="1">INDEX(Historical!$A$1:$A$18, RANDBETWEEN(1, COUNTA(Historical!$A$1:$A$18)))</f>
        <v>1.3617021276595744</v>
      </c>
      <c r="C1168" s="42">
        <f ca="1">Inputs!$B$2/B1168</f>
        <v>164.5</v>
      </c>
      <c r="D1168" s="43">
        <f ca="1">WORKDAY(Inputs!$B$3, ROUND(C1168, 0),Sheet2!$A$2:$A$21)</f>
        <v>46259</v>
      </c>
    </row>
    <row r="1169" spans="1:4" x14ac:dyDescent="0.25">
      <c r="A1169" s="42">
        <f t="shared" si="20"/>
        <v>1168</v>
      </c>
      <c r="B1169" s="42" cm="1">
        <f t="array" aca="1" ref="B1169" ca="1">INDEX(Historical!$A$1:$A$18, RANDBETWEEN(1, COUNTA(Historical!$A$1:$A$18)))</f>
        <v>1.3617021276595744</v>
      </c>
      <c r="C1169" s="42">
        <f ca="1">Inputs!$B$2/B1169</f>
        <v>164.5</v>
      </c>
      <c r="D1169" s="43">
        <f ca="1">WORKDAY(Inputs!$B$3, ROUND(C1169, 0),Sheet2!$A$2:$A$21)</f>
        <v>46259</v>
      </c>
    </row>
    <row r="1170" spans="1:4" x14ac:dyDescent="0.25">
      <c r="A1170" s="42">
        <f t="shared" si="20"/>
        <v>1169</v>
      </c>
      <c r="B1170" s="42" cm="1">
        <f t="array" aca="1" ref="B1170" ca="1">INDEX(Historical!$A$1:$A$18, RANDBETWEEN(1, COUNTA(Historical!$A$1:$A$18)))</f>
        <v>1.3707865168539326</v>
      </c>
      <c r="C1170" s="42">
        <f ca="1">Inputs!$B$2/B1170</f>
        <v>163.40983606557376</v>
      </c>
      <c r="D1170" s="43">
        <f ca="1">WORKDAY(Inputs!$B$3, ROUND(C1170, 0),Sheet2!$A$2:$A$21)</f>
        <v>46255</v>
      </c>
    </row>
    <row r="1171" spans="1:4" x14ac:dyDescent="0.25">
      <c r="A1171" s="42">
        <f t="shared" si="20"/>
        <v>1170</v>
      </c>
      <c r="B1171" s="42" cm="1">
        <f t="array" aca="1" ref="B1171" ca="1">INDEX(Historical!$A$1:$A$18, RANDBETWEEN(1, COUNTA(Historical!$A$1:$A$18)))</f>
        <v>1.3157894736842106</v>
      </c>
      <c r="C1171" s="42">
        <f ca="1">Inputs!$B$2/B1171</f>
        <v>170.23999999999998</v>
      </c>
      <c r="D1171" s="43">
        <f ca="1">WORKDAY(Inputs!$B$3, ROUND(C1171, 0),Sheet2!$A$2:$A$21)</f>
        <v>46266</v>
      </c>
    </row>
    <row r="1172" spans="1:4" x14ac:dyDescent="0.25">
      <c r="A1172" s="42">
        <f t="shared" si="20"/>
        <v>1171</v>
      </c>
      <c r="B1172" s="42" cm="1">
        <f t="array" aca="1" ref="B1172" ca="1">INDEX(Historical!$A$1:$A$18, RANDBETWEEN(1, COUNTA(Historical!$A$1:$A$18)))</f>
        <v>1.4347826086956521</v>
      </c>
      <c r="C1172" s="42">
        <f ca="1">Inputs!$B$2/B1172</f>
        <v>156.12121212121212</v>
      </c>
      <c r="D1172" s="43">
        <f ca="1">WORKDAY(Inputs!$B$3, ROUND(C1172, 0),Sheet2!$A$2:$A$21)</f>
        <v>46246</v>
      </c>
    </row>
    <row r="1173" spans="1:4" x14ac:dyDescent="0.25">
      <c r="A1173" s="42">
        <f t="shared" si="20"/>
        <v>1172</v>
      </c>
      <c r="B1173" s="42" cm="1">
        <f t="array" aca="1" ref="B1173" ca="1">INDEX(Historical!$A$1:$A$18, RANDBETWEEN(1, COUNTA(Historical!$A$1:$A$18)))</f>
        <v>1.2941176470588236</v>
      </c>
      <c r="C1173" s="42">
        <f ca="1">Inputs!$B$2/B1173</f>
        <v>173.09090909090909</v>
      </c>
      <c r="D1173" s="43">
        <f ca="1">WORKDAY(Inputs!$B$3, ROUND(C1173, 0),Sheet2!$A$2:$A$21)</f>
        <v>46269</v>
      </c>
    </row>
    <row r="1174" spans="1:4" x14ac:dyDescent="0.25">
      <c r="A1174" s="42">
        <f t="shared" si="20"/>
        <v>1173</v>
      </c>
      <c r="B1174" s="42" cm="1">
        <f t="array" aca="1" ref="B1174" ca="1">INDEX(Historical!$A$1:$A$18, RANDBETWEEN(1, COUNTA(Historical!$A$1:$A$18)))</f>
        <v>1.3692307692307693</v>
      </c>
      <c r="C1174" s="42">
        <f ca="1">Inputs!$B$2/B1174</f>
        <v>163.59550561797752</v>
      </c>
      <c r="D1174" s="43">
        <f ca="1">WORKDAY(Inputs!$B$3, ROUND(C1174, 0),Sheet2!$A$2:$A$21)</f>
        <v>46258</v>
      </c>
    </row>
    <row r="1175" spans="1:4" x14ac:dyDescent="0.25">
      <c r="A1175" s="42">
        <f t="shared" si="20"/>
        <v>1174</v>
      </c>
      <c r="B1175" s="42" cm="1">
        <f t="array" aca="1" ref="B1175" ca="1">INDEX(Historical!$A$1:$A$18, RANDBETWEEN(1, COUNTA(Historical!$A$1:$A$18)))</f>
        <v>1.2941176470588236</v>
      </c>
      <c r="C1175" s="42">
        <f ca="1">Inputs!$B$2/B1175</f>
        <v>173.09090909090909</v>
      </c>
      <c r="D1175" s="43">
        <f ca="1">WORKDAY(Inputs!$B$3, ROUND(C1175, 0),Sheet2!$A$2:$A$21)</f>
        <v>46269</v>
      </c>
    </row>
    <row r="1176" spans="1:4" x14ac:dyDescent="0.25">
      <c r="A1176" s="42">
        <f t="shared" si="20"/>
        <v>1175</v>
      </c>
      <c r="B1176" s="42" cm="1">
        <f t="array" aca="1" ref="B1176" ca="1">INDEX(Historical!$A$1:$A$18, RANDBETWEEN(1, COUNTA(Historical!$A$1:$A$18)))</f>
        <v>1.3611111111111112</v>
      </c>
      <c r="C1176" s="42">
        <f ca="1">Inputs!$B$2/B1176</f>
        <v>164.57142857142856</v>
      </c>
      <c r="D1176" s="43">
        <f ca="1">WORKDAY(Inputs!$B$3, ROUND(C1176, 0),Sheet2!$A$2:$A$21)</f>
        <v>46259</v>
      </c>
    </row>
    <row r="1177" spans="1:4" x14ac:dyDescent="0.25">
      <c r="A1177" s="42">
        <f t="shared" si="20"/>
        <v>1176</v>
      </c>
      <c r="B1177" s="42" cm="1">
        <f t="array" aca="1" ref="B1177" ca="1">INDEX(Historical!$A$1:$A$18, RANDBETWEEN(1, COUNTA(Historical!$A$1:$A$18)))</f>
        <v>1.3157894736842106</v>
      </c>
      <c r="C1177" s="42">
        <f ca="1">Inputs!$B$2/B1177</f>
        <v>170.23999999999998</v>
      </c>
      <c r="D1177" s="43">
        <f ca="1">WORKDAY(Inputs!$B$3, ROUND(C1177, 0),Sheet2!$A$2:$A$21)</f>
        <v>46266</v>
      </c>
    </row>
    <row r="1178" spans="1:4" x14ac:dyDescent="0.25">
      <c r="A1178" s="42">
        <f t="shared" si="20"/>
        <v>1177</v>
      </c>
      <c r="B1178" s="42" cm="1">
        <f t="array" aca="1" ref="B1178" ca="1">INDEX(Historical!$A$1:$A$18, RANDBETWEEN(1, COUNTA(Historical!$A$1:$A$18)))</f>
        <v>1.3559322033898304</v>
      </c>
      <c r="C1178" s="42">
        <f ca="1">Inputs!$B$2/B1178</f>
        <v>165.20000000000002</v>
      </c>
      <c r="D1178" s="43">
        <f ca="1">WORKDAY(Inputs!$B$3, ROUND(C1178, 0),Sheet2!$A$2:$A$21)</f>
        <v>46259</v>
      </c>
    </row>
    <row r="1179" spans="1:4" x14ac:dyDescent="0.25">
      <c r="A1179" s="42">
        <f t="shared" si="20"/>
        <v>1178</v>
      </c>
      <c r="B1179" s="42" cm="1">
        <f t="array" aca="1" ref="B1179" ca="1">INDEX(Historical!$A$1:$A$18, RANDBETWEEN(1, COUNTA(Historical!$A$1:$A$18)))</f>
        <v>1.375</v>
      </c>
      <c r="C1179" s="42">
        <f ca="1">Inputs!$B$2/B1179</f>
        <v>162.90909090909091</v>
      </c>
      <c r="D1179" s="43">
        <f ca="1">WORKDAY(Inputs!$B$3, ROUND(C1179, 0),Sheet2!$A$2:$A$21)</f>
        <v>46255</v>
      </c>
    </row>
    <row r="1180" spans="1:4" x14ac:dyDescent="0.25">
      <c r="A1180" s="42">
        <f t="shared" si="20"/>
        <v>1179</v>
      </c>
      <c r="B1180" s="42" cm="1">
        <f t="array" aca="1" ref="B1180" ca="1">INDEX(Historical!$A$1:$A$18, RANDBETWEEN(1, COUNTA(Historical!$A$1:$A$18)))</f>
        <v>1.3617021276595744</v>
      </c>
      <c r="C1180" s="42">
        <f ca="1">Inputs!$B$2/B1180</f>
        <v>164.5</v>
      </c>
      <c r="D1180" s="43">
        <f ca="1">WORKDAY(Inputs!$B$3, ROUND(C1180, 0),Sheet2!$A$2:$A$21)</f>
        <v>46259</v>
      </c>
    </row>
    <row r="1181" spans="1:4" x14ac:dyDescent="0.25">
      <c r="A1181" s="42">
        <f t="shared" si="20"/>
        <v>1180</v>
      </c>
      <c r="B1181" s="42" cm="1">
        <f t="array" aca="1" ref="B1181" ca="1">INDEX(Historical!$A$1:$A$18, RANDBETWEEN(1, COUNTA(Historical!$A$1:$A$18)))</f>
        <v>1.3559322033898304</v>
      </c>
      <c r="C1181" s="42">
        <f ca="1">Inputs!$B$2/B1181</f>
        <v>165.20000000000002</v>
      </c>
      <c r="D1181" s="43">
        <f ca="1">WORKDAY(Inputs!$B$3, ROUND(C1181, 0),Sheet2!$A$2:$A$21)</f>
        <v>46259</v>
      </c>
    </row>
    <row r="1182" spans="1:4" x14ac:dyDescent="0.25">
      <c r="A1182" s="42">
        <f t="shared" si="20"/>
        <v>1181</v>
      </c>
      <c r="B1182" s="42" cm="1">
        <f t="array" aca="1" ref="B1182" ca="1">INDEX(Historical!$A$1:$A$18, RANDBETWEEN(1, COUNTA(Historical!$A$1:$A$18)))</f>
        <v>1.368421052631579</v>
      </c>
      <c r="C1182" s="42">
        <f ca="1">Inputs!$B$2/B1182</f>
        <v>163.69230769230768</v>
      </c>
      <c r="D1182" s="43">
        <f ca="1">WORKDAY(Inputs!$B$3, ROUND(C1182, 0),Sheet2!$A$2:$A$21)</f>
        <v>46258</v>
      </c>
    </row>
    <row r="1183" spans="1:4" x14ac:dyDescent="0.25">
      <c r="A1183" s="42">
        <f t="shared" si="20"/>
        <v>1182</v>
      </c>
      <c r="B1183" s="42" cm="1">
        <f t="array" aca="1" ref="B1183" ca="1">INDEX(Historical!$A$1:$A$18, RANDBETWEEN(1, COUNTA(Historical!$A$1:$A$18)))</f>
        <v>1.1666666666666667</v>
      </c>
      <c r="C1183" s="42">
        <f ca="1">Inputs!$B$2/B1183</f>
        <v>192</v>
      </c>
      <c r="D1183" s="43">
        <f ca="1">WORKDAY(Inputs!$B$3, ROUND(C1183, 0),Sheet2!$A$2:$A$21)</f>
        <v>46297</v>
      </c>
    </row>
    <row r="1184" spans="1:4" x14ac:dyDescent="0.25">
      <c r="A1184" s="42">
        <f t="shared" si="20"/>
        <v>1183</v>
      </c>
      <c r="B1184" s="42" cm="1">
        <f t="array" aca="1" ref="B1184" ca="1">INDEX(Historical!$A$1:$A$18, RANDBETWEEN(1, COUNTA(Historical!$A$1:$A$18)))</f>
        <v>1.375</v>
      </c>
      <c r="C1184" s="42">
        <f ca="1">Inputs!$B$2/B1184</f>
        <v>162.90909090909091</v>
      </c>
      <c r="D1184" s="43">
        <f ca="1">WORKDAY(Inputs!$B$3, ROUND(C1184, 0),Sheet2!$A$2:$A$21)</f>
        <v>46255</v>
      </c>
    </row>
    <row r="1185" spans="1:4" x14ac:dyDescent="0.25">
      <c r="A1185" s="42">
        <f t="shared" si="20"/>
        <v>1184</v>
      </c>
      <c r="B1185" s="42" cm="1">
        <f t="array" aca="1" ref="B1185" ca="1">INDEX(Historical!$A$1:$A$18, RANDBETWEEN(1, COUNTA(Historical!$A$1:$A$18)))</f>
        <v>1.4038461538461537</v>
      </c>
      <c r="C1185" s="42">
        <f ca="1">Inputs!$B$2/B1185</f>
        <v>159.56164383561645</v>
      </c>
      <c r="D1185" s="43">
        <f ca="1">WORKDAY(Inputs!$B$3, ROUND(C1185, 0),Sheet2!$A$2:$A$21)</f>
        <v>46252</v>
      </c>
    </row>
    <row r="1186" spans="1:4" x14ac:dyDescent="0.25">
      <c r="A1186" s="42">
        <f t="shared" si="20"/>
        <v>1185</v>
      </c>
      <c r="B1186" s="42" cm="1">
        <f t="array" aca="1" ref="B1186" ca="1">INDEX(Historical!$A$1:$A$18, RANDBETWEEN(1, COUNTA(Historical!$A$1:$A$18)))</f>
        <v>1.1666666666666667</v>
      </c>
      <c r="C1186" s="42">
        <f ca="1">Inputs!$B$2/B1186</f>
        <v>192</v>
      </c>
      <c r="D1186" s="43">
        <f ca="1">WORKDAY(Inputs!$B$3, ROUND(C1186, 0),Sheet2!$A$2:$A$21)</f>
        <v>46297</v>
      </c>
    </row>
    <row r="1187" spans="1:4" x14ac:dyDescent="0.25">
      <c r="A1187" s="42">
        <f t="shared" si="20"/>
        <v>1186</v>
      </c>
      <c r="B1187" s="42" cm="1">
        <f t="array" aca="1" ref="B1187" ca="1">INDEX(Historical!$A$1:$A$18, RANDBETWEEN(1, COUNTA(Historical!$A$1:$A$18)))</f>
        <v>1.2941176470588236</v>
      </c>
      <c r="C1187" s="42">
        <f ca="1">Inputs!$B$2/B1187</f>
        <v>173.09090909090909</v>
      </c>
      <c r="D1187" s="43">
        <f ca="1">WORKDAY(Inputs!$B$3, ROUND(C1187, 0),Sheet2!$A$2:$A$21)</f>
        <v>46269</v>
      </c>
    </row>
    <row r="1188" spans="1:4" x14ac:dyDescent="0.25">
      <c r="A1188" s="42">
        <f t="shared" si="20"/>
        <v>1187</v>
      </c>
      <c r="B1188" s="42" cm="1">
        <f t="array" aca="1" ref="B1188" ca="1">INDEX(Historical!$A$1:$A$18, RANDBETWEEN(1, COUNTA(Historical!$A$1:$A$18)))</f>
        <v>1.3157894736842106</v>
      </c>
      <c r="C1188" s="42">
        <f ca="1">Inputs!$B$2/B1188</f>
        <v>170.23999999999998</v>
      </c>
      <c r="D1188" s="43">
        <f ca="1">WORKDAY(Inputs!$B$3, ROUND(C1188, 0),Sheet2!$A$2:$A$21)</f>
        <v>46266</v>
      </c>
    </row>
    <row r="1189" spans="1:4" x14ac:dyDescent="0.25">
      <c r="A1189" s="42">
        <f t="shared" si="20"/>
        <v>1188</v>
      </c>
      <c r="B1189" s="42" cm="1">
        <f t="array" aca="1" ref="B1189" ca="1">INDEX(Historical!$A$1:$A$18, RANDBETWEEN(1, COUNTA(Historical!$A$1:$A$18)))</f>
        <v>1.4137931034482758</v>
      </c>
      <c r="C1189" s="42">
        <f ca="1">Inputs!$B$2/B1189</f>
        <v>158.4390243902439</v>
      </c>
      <c r="D1189" s="43">
        <f ca="1">WORKDAY(Inputs!$B$3, ROUND(C1189, 0),Sheet2!$A$2:$A$21)</f>
        <v>46248</v>
      </c>
    </row>
    <row r="1190" spans="1:4" x14ac:dyDescent="0.25">
      <c r="A1190" s="42">
        <f t="shared" si="20"/>
        <v>1189</v>
      </c>
      <c r="B1190" s="42" cm="1">
        <f t="array" aca="1" ref="B1190" ca="1">INDEX(Historical!$A$1:$A$18, RANDBETWEEN(1, COUNTA(Historical!$A$1:$A$18)))</f>
        <v>1.3692307692307693</v>
      </c>
      <c r="C1190" s="42">
        <f ca="1">Inputs!$B$2/B1190</f>
        <v>163.59550561797752</v>
      </c>
      <c r="D1190" s="43">
        <f ca="1">WORKDAY(Inputs!$B$3, ROUND(C1190, 0),Sheet2!$A$2:$A$21)</f>
        <v>46258</v>
      </c>
    </row>
    <row r="1191" spans="1:4" x14ac:dyDescent="0.25">
      <c r="A1191" s="42">
        <f t="shared" si="20"/>
        <v>1190</v>
      </c>
      <c r="B1191" s="42" cm="1">
        <f t="array" aca="1" ref="B1191" ca="1">INDEX(Historical!$A$1:$A$18, RANDBETWEEN(1, COUNTA(Historical!$A$1:$A$18)))</f>
        <v>1.3214285714285714</v>
      </c>
      <c r="C1191" s="42">
        <f ca="1">Inputs!$B$2/B1191</f>
        <v>169.51351351351352</v>
      </c>
      <c r="D1191" s="43">
        <f ca="1">WORKDAY(Inputs!$B$3, ROUND(C1191, 0),Sheet2!$A$2:$A$21)</f>
        <v>46266</v>
      </c>
    </row>
    <row r="1192" spans="1:4" x14ac:dyDescent="0.25">
      <c r="A1192" s="42">
        <f t="shared" si="20"/>
        <v>1191</v>
      </c>
      <c r="B1192" s="42" cm="1">
        <f t="array" aca="1" ref="B1192" ca="1">INDEX(Historical!$A$1:$A$18, RANDBETWEEN(1, COUNTA(Historical!$A$1:$A$18)))</f>
        <v>1.3157894736842106</v>
      </c>
      <c r="C1192" s="42">
        <f ca="1">Inputs!$B$2/B1192</f>
        <v>170.23999999999998</v>
      </c>
      <c r="D1192" s="43">
        <f ca="1">WORKDAY(Inputs!$B$3, ROUND(C1192, 0),Sheet2!$A$2:$A$21)</f>
        <v>46266</v>
      </c>
    </row>
    <row r="1193" spans="1:4" x14ac:dyDescent="0.25">
      <c r="A1193" s="42">
        <f t="shared" si="20"/>
        <v>1192</v>
      </c>
      <c r="B1193" s="42" cm="1">
        <f t="array" aca="1" ref="B1193" ca="1">INDEX(Historical!$A$1:$A$18, RANDBETWEEN(1, COUNTA(Historical!$A$1:$A$18)))</f>
        <v>1.303030303030303</v>
      </c>
      <c r="C1193" s="42">
        <f ca="1">Inputs!$B$2/B1193</f>
        <v>171.90697674418604</v>
      </c>
      <c r="D1193" s="43">
        <f ca="1">WORKDAY(Inputs!$B$3, ROUND(C1193, 0),Sheet2!$A$2:$A$21)</f>
        <v>46268</v>
      </c>
    </row>
    <row r="1194" spans="1:4" x14ac:dyDescent="0.25">
      <c r="A1194" s="42">
        <f t="shared" si="20"/>
        <v>1193</v>
      </c>
      <c r="B1194" s="42" cm="1">
        <f t="array" aca="1" ref="B1194" ca="1">INDEX(Historical!$A$1:$A$18, RANDBETWEEN(1, COUNTA(Historical!$A$1:$A$18)))</f>
        <v>1.3214285714285714</v>
      </c>
      <c r="C1194" s="42">
        <f ca="1">Inputs!$B$2/B1194</f>
        <v>169.51351351351352</v>
      </c>
      <c r="D1194" s="43">
        <f ca="1">WORKDAY(Inputs!$B$3, ROUND(C1194, 0),Sheet2!$A$2:$A$21)</f>
        <v>46266</v>
      </c>
    </row>
    <row r="1195" spans="1:4" x14ac:dyDescent="0.25">
      <c r="A1195" s="42">
        <f t="shared" si="20"/>
        <v>1194</v>
      </c>
      <c r="B1195" s="42" cm="1">
        <f t="array" aca="1" ref="B1195" ca="1">INDEX(Historical!$A$1:$A$18, RANDBETWEEN(1, COUNTA(Historical!$A$1:$A$18)))</f>
        <v>1.4761904761904763</v>
      </c>
      <c r="C1195" s="42">
        <f ca="1">Inputs!$B$2/B1195</f>
        <v>151.74193548387095</v>
      </c>
      <c r="D1195" s="43">
        <f ca="1">WORKDAY(Inputs!$B$3, ROUND(C1195, 0),Sheet2!$A$2:$A$21)</f>
        <v>46240</v>
      </c>
    </row>
    <row r="1196" spans="1:4" x14ac:dyDescent="0.25">
      <c r="A1196" s="42">
        <f t="shared" si="20"/>
        <v>1195</v>
      </c>
      <c r="B1196" s="42" cm="1">
        <f t="array" aca="1" ref="B1196" ca="1">INDEX(Historical!$A$1:$A$18, RANDBETWEEN(1, COUNTA(Historical!$A$1:$A$18)))</f>
        <v>1.5</v>
      </c>
      <c r="C1196" s="42">
        <f ca="1">Inputs!$B$2/B1196</f>
        <v>149.33333333333334</v>
      </c>
      <c r="D1196" s="43">
        <f ca="1">WORKDAY(Inputs!$B$3, ROUND(C1196, 0),Sheet2!$A$2:$A$21)</f>
        <v>46237</v>
      </c>
    </row>
    <row r="1197" spans="1:4" x14ac:dyDescent="0.25">
      <c r="A1197" s="42">
        <f t="shared" si="20"/>
        <v>1196</v>
      </c>
      <c r="B1197" s="42" cm="1">
        <f t="array" aca="1" ref="B1197" ca="1">INDEX(Historical!$A$1:$A$18, RANDBETWEEN(1, COUNTA(Historical!$A$1:$A$18)))</f>
        <v>1.290909090909091</v>
      </c>
      <c r="C1197" s="42">
        <f ca="1">Inputs!$B$2/B1197</f>
        <v>173.52112676056336</v>
      </c>
      <c r="D1197" s="43">
        <f ca="1">WORKDAY(Inputs!$B$3, ROUND(C1197, 0),Sheet2!$A$2:$A$21)</f>
        <v>46273</v>
      </c>
    </row>
    <row r="1198" spans="1:4" x14ac:dyDescent="0.25">
      <c r="A1198" s="42">
        <f t="shared" si="20"/>
        <v>1197</v>
      </c>
      <c r="B1198" s="42" cm="1">
        <f t="array" aca="1" ref="B1198" ca="1">INDEX(Historical!$A$1:$A$18, RANDBETWEEN(1, COUNTA(Historical!$A$1:$A$18)))</f>
        <v>1.4137931034482758</v>
      </c>
      <c r="C1198" s="42">
        <f ca="1">Inputs!$B$2/B1198</f>
        <v>158.4390243902439</v>
      </c>
      <c r="D1198" s="43">
        <f ca="1">WORKDAY(Inputs!$B$3, ROUND(C1198, 0),Sheet2!$A$2:$A$21)</f>
        <v>46248</v>
      </c>
    </row>
    <row r="1199" spans="1:4" x14ac:dyDescent="0.25">
      <c r="A1199" s="42">
        <f t="shared" si="20"/>
        <v>1198</v>
      </c>
      <c r="B1199" s="42" cm="1">
        <f t="array" aca="1" ref="B1199" ca="1">INDEX(Historical!$A$1:$A$18, RANDBETWEEN(1, COUNTA(Historical!$A$1:$A$18)))</f>
        <v>1.375</v>
      </c>
      <c r="C1199" s="42">
        <f ca="1">Inputs!$B$2/B1199</f>
        <v>162.90909090909091</v>
      </c>
      <c r="D1199" s="43">
        <f ca="1">WORKDAY(Inputs!$B$3, ROUND(C1199, 0),Sheet2!$A$2:$A$21)</f>
        <v>46255</v>
      </c>
    </row>
    <row r="1200" spans="1:4" x14ac:dyDescent="0.25">
      <c r="A1200" s="42">
        <f t="shared" si="20"/>
        <v>1199</v>
      </c>
      <c r="B1200" s="42" cm="1">
        <f t="array" aca="1" ref="B1200" ca="1">INDEX(Historical!$A$1:$A$18, RANDBETWEEN(1, COUNTA(Historical!$A$1:$A$18)))</f>
        <v>1.3707865168539326</v>
      </c>
      <c r="C1200" s="42">
        <f ca="1">Inputs!$B$2/B1200</f>
        <v>163.40983606557376</v>
      </c>
      <c r="D1200" s="43">
        <f ca="1">WORKDAY(Inputs!$B$3, ROUND(C1200, 0),Sheet2!$A$2:$A$21)</f>
        <v>46255</v>
      </c>
    </row>
    <row r="1201" spans="1:4" x14ac:dyDescent="0.25">
      <c r="A1201" s="42">
        <f t="shared" si="20"/>
        <v>1200</v>
      </c>
      <c r="B1201" s="42" cm="1">
        <f t="array" aca="1" ref="B1201" ca="1">INDEX(Historical!$A$1:$A$18, RANDBETWEEN(1, COUNTA(Historical!$A$1:$A$18)))</f>
        <v>1.3157894736842106</v>
      </c>
      <c r="C1201" s="42">
        <f ca="1">Inputs!$B$2/B1201</f>
        <v>170.23999999999998</v>
      </c>
      <c r="D1201" s="43">
        <f ca="1">WORKDAY(Inputs!$B$3, ROUND(C1201, 0),Sheet2!$A$2:$A$21)</f>
        <v>46266</v>
      </c>
    </row>
    <row r="1202" spans="1:4" x14ac:dyDescent="0.25">
      <c r="A1202" s="42">
        <f t="shared" si="20"/>
        <v>1201</v>
      </c>
      <c r="B1202" s="42" cm="1">
        <f t="array" aca="1" ref="B1202" ca="1">INDEX(Historical!$A$1:$A$18, RANDBETWEEN(1, COUNTA(Historical!$A$1:$A$18)))</f>
        <v>1.4038461538461537</v>
      </c>
      <c r="C1202" s="42">
        <f ca="1">Inputs!$B$2/B1202</f>
        <v>159.56164383561645</v>
      </c>
      <c r="D1202" s="43">
        <f ca="1">WORKDAY(Inputs!$B$3, ROUND(C1202, 0),Sheet2!$A$2:$A$21)</f>
        <v>46252</v>
      </c>
    </row>
    <row r="1203" spans="1:4" x14ac:dyDescent="0.25">
      <c r="A1203" s="42">
        <f t="shared" si="20"/>
        <v>1202</v>
      </c>
      <c r="B1203" s="42" cm="1">
        <f t="array" aca="1" ref="B1203" ca="1">INDEX(Historical!$A$1:$A$18, RANDBETWEEN(1, COUNTA(Historical!$A$1:$A$18)))</f>
        <v>1.368421052631579</v>
      </c>
      <c r="C1203" s="42">
        <f ca="1">Inputs!$B$2/B1203</f>
        <v>163.69230769230768</v>
      </c>
      <c r="D1203" s="43">
        <f ca="1">WORKDAY(Inputs!$B$3, ROUND(C1203, 0),Sheet2!$A$2:$A$21)</f>
        <v>46258</v>
      </c>
    </row>
    <row r="1204" spans="1:4" x14ac:dyDescent="0.25">
      <c r="A1204" s="42">
        <f t="shared" si="20"/>
        <v>1203</v>
      </c>
      <c r="B1204" s="42" cm="1">
        <f t="array" aca="1" ref="B1204" ca="1">INDEX(Historical!$A$1:$A$18, RANDBETWEEN(1, COUNTA(Historical!$A$1:$A$18)))</f>
        <v>1.4347826086956521</v>
      </c>
      <c r="C1204" s="42">
        <f ca="1">Inputs!$B$2/B1204</f>
        <v>156.12121212121212</v>
      </c>
      <c r="D1204" s="43">
        <f ca="1">WORKDAY(Inputs!$B$3, ROUND(C1204, 0),Sheet2!$A$2:$A$21)</f>
        <v>46246</v>
      </c>
    </row>
    <row r="1205" spans="1:4" x14ac:dyDescent="0.25">
      <c r="A1205" s="42">
        <f t="shared" si="20"/>
        <v>1204</v>
      </c>
      <c r="B1205" s="42" cm="1">
        <f t="array" aca="1" ref="B1205" ca="1">INDEX(Historical!$A$1:$A$18, RANDBETWEEN(1, COUNTA(Historical!$A$1:$A$18)))</f>
        <v>1.3617021276595744</v>
      </c>
      <c r="C1205" s="42">
        <f ca="1">Inputs!$B$2/B1205</f>
        <v>164.5</v>
      </c>
      <c r="D1205" s="43">
        <f ca="1">WORKDAY(Inputs!$B$3, ROUND(C1205, 0),Sheet2!$A$2:$A$21)</f>
        <v>46259</v>
      </c>
    </row>
    <row r="1206" spans="1:4" x14ac:dyDescent="0.25">
      <c r="A1206" s="42">
        <f t="shared" si="20"/>
        <v>1205</v>
      </c>
      <c r="B1206" s="42" cm="1">
        <f t="array" aca="1" ref="B1206" ca="1">INDEX(Historical!$A$1:$A$18, RANDBETWEEN(1, COUNTA(Historical!$A$1:$A$18)))</f>
        <v>1.375</v>
      </c>
      <c r="C1206" s="42">
        <f ca="1">Inputs!$B$2/B1206</f>
        <v>162.90909090909091</v>
      </c>
      <c r="D1206" s="43">
        <f ca="1">WORKDAY(Inputs!$B$3, ROUND(C1206, 0),Sheet2!$A$2:$A$21)</f>
        <v>46255</v>
      </c>
    </row>
    <row r="1207" spans="1:4" x14ac:dyDescent="0.25">
      <c r="A1207" s="42">
        <f t="shared" si="20"/>
        <v>1206</v>
      </c>
      <c r="B1207" s="42" cm="1">
        <f t="array" aca="1" ref="B1207" ca="1">INDEX(Historical!$A$1:$A$18, RANDBETWEEN(1, COUNTA(Historical!$A$1:$A$18)))</f>
        <v>1.5</v>
      </c>
      <c r="C1207" s="42">
        <f ca="1">Inputs!$B$2/B1207</f>
        <v>149.33333333333334</v>
      </c>
      <c r="D1207" s="43">
        <f ca="1">WORKDAY(Inputs!$B$3, ROUND(C1207, 0),Sheet2!$A$2:$A$21)</f>
        <v>46237</v>
      </c>
    </row>
    <row r="1208" spans="1:4" x14ac:dyDescent="0.25">
      <c r="A1208" s="42">
        <f t="shared" si="20"/>
        <v>1207</v>
      </c>
      <c r="B1208" s="42" cm="1">
        <f t="array" aca="1" ref="B1208" ca="1">INDEX(Historical!$A$1:$A$18, RANDBETWEEN(1, COUNTA(Historical!$A$1:$A$18)))</f>
        <v>1.2941176470588236</v>
      </c>
      <c r="C1208" s="42">
        <f ca="1">Inputs!$B$2/B1208</f>
        <v>173.09090909090909</v>
      </c>
      <c r="D1208" s="43">
        <f ca="1">WORKDAY(Inputs!$B$3, ROUND(C1208, 0),Sheet2!$A$2:$A$21)</f>
        <v>46269</v>
      </c>
    </row>
    <row r="1209" spans="1:4" x14ac:dyDescent="0.25">
      <c r="A1209" s="42">
        <f t="shared" si="20"/>
        <v>1208</v>
      </c>
      <c r="B1209" s="42" cm="1">
        <f t="array" aca="1" ref="B1209" ca="1">INDEX(Historical!$A$1:$A$18, RANDBETWEEN(1, COUNTA(Historical!$A$1:$A$18)))</f>
        <v>1.4137931034482758</v>
      </c>
      <c r="C1209" s="42">
        <f ca="1">Inputs!$B$2/B1209</f>
        <v>158.4390243902439</v>
      </c>
      <c r="D1209" s="43">
        <f ca="1">WORKDAY(Inputs!$B$3, ROUND(C1209, 0),Sheet2!$A$2:$A$21)</f>
        <v>46248</v>
      </c>
    </row>
    <row r="1210" spans="1:4" x14ac:dyDescent="0.25">
      <c r="A1210" s="42">
        <f t="shared" si="20"/>
        <v>1209</v>
      </c>
      <c r="B1210" s="42" cm="1">
        <f t="array" aca="1" ref="B1210" ca="1">INDEX(Historical!$A$1:$A$18, RANDBETWEEN(1, COUNTA(Historical!$A$1:$A$18)))</f>
        <v>1.3214285714285714</v>
      </c>
      <c r="C1210" s="42">
        <f ca="1">Inputs!$B$2/B1210</f>
        <v>169.51351351351352</v>
      </c>
      <c r="D1210" s="43">
        <f ca="1">WORKDAY(Inputs!$B$3, ROUND(C1210, 0),Sheet2!$A$2:$A$21)</f>
        <v>46266</v>
      </c>
    </row>
    <row r="1211" spans="1:4" x14ac:dyDescent="0.25">
      <c r="A1211" s="42">
        <f t="shared" si="20"/>
        <v>1210</v>
      </c>
      <c r="B1211" s="42" cm="1">
        <f t="array" aca="1" ref="B1211" ca="1">INDEX(Historical!$A$1:$A$18, RANDBETWEEN(1, COUNTA(Historical!$A$1:$A$18)))</f>
        <v>1.3707865168539326</v>
      </c>
      <c r="C1211" s="42">
        <f ca="1">Inputs!$B$2/B1211</f>
        <v>163.40983606557376</v>
      </c>
      <c r="D1211" s="43">
        <f ca="1">WORKDAY(Inputs!$B$3, ROUND(C1211, 0),Sheet2!$A$2:$A$21)</f>
        <v>46255</v>
      </c>
    </row>
    <row r="1212" spans="1:4" x14ac:dyDescent="0.25">
      <c r="A1212" s="42">
        <f t="shared" si="20"/>
        <v>1211</v>
      </c>
      <c r="B1212" s="42" cm="1">
        <f t="array" aca="1" ref="B1212" ca="1">INDEX(Historical!$A$1:$A$18, RANDBETWEEN(1, COUNTA(Historical!$A$1:$A$18)))</f>
        <v>1.5</v>
      </c>
      <c r="C1212" s="42">
        <f ca="1">Inputs!$B$2/B1212</f>
        <v>149.33333333333334</v>
      </c>
      <c r="D1212" s="43">
        <f ca="1">WORKDAY(Inputs!$B$3, ROUND(C1212, 0),Sheet2!$A$2:$A$21)</f>
        <v>46237</v>
      </c>
    </row>
    <row r="1213" spans="1:4" x14ac:dyDescent="0.25">
      <c r="A1213" s="42">
        <f t="shared" si="20"/>
        <v>1212</v>
      </c>
      <c r="B1213" s="42" cm="1">
        <f t="array" aca="1" ref="B1213" ca="1">INDEX(Historical!$A$1:$A$18, RANDBETWEEN(1, COUNTA(Historical!$A$1:$A$18)))</f>
        <v>1.368421052631579</v>
      </c>
      <c r="C1213" s="42">
        <f ca="1">Inputs!$B$2/B1213</f>
        <v>163.69230769230768</v>
      </c>
      <c r="D1213" s="43">
        <f ca="1">WORKDAY(Inputs!$B$3, ROUND(C1213, 0),Sheet2!$A$2:$A$21)</f>
        <v>46258</v>
      </c>
    </row>
    <row r="1214" spans="1:4" x14ac:dyDescent="0.25">
      <c r="A1214" s="42">
        <f t="shared" si="20"/>
        <v>1213</v>
      </c>
      <c r="B1214" s="42" cm="1">
        <f t="array" aca="1" ref="B1214" ca="1">INDEX(Historical!$A$1:$A$18, RANDBETWEEN(1, COUNTA(Historical!$A$1:$A$18)))</f>
        <v>1.3214285714285714</v>
      </c>
      <c r="C1214" s="42">
        <f ca="1">Inputs!$B$2/B1214</f>
        <v>169.51351351351352</v>
      </c>
      <c r="D1214" s="43">
        <f ca="1">WORKDAY(Inputs!$B$3, ROUND(C1214, 0),Sheet2!$A$2:$A$21)</f>
        <v>46266</v>
      </c>
    </row>
    <row r="1215" spans="1:4" x14ac:dyDescent="0.25">
      <c r="A1215" s="42">
        <f t="shared" si="20"/>
        <v>1214</v>
      </c>
      <c r="B1215" s="42" cm="1">
        <f t="array" aca="1" ref="B1215" ca="1">INDEX(Historical!$A$1:$A$18, RANDBETWEEN(1, COUNTA(Historical!$A$1:$A$18)))</f>
        <v>1.3157894736842106</v>
      </c>
      <c r="C1215" s="42">
        <f ca="1">Inputs!$B$2/B1215</f>
        <v>170.23999999999998</v>
      </c>
      <c r="D1215" s="43">
        <f ca="1">WORKDAY(Inputs!$B$3, ROUND(C1215, 0),Sheet2!$A$2:$A$21)</f>
        <v>46266</v>
      </c>
    </row>
    <row r="1216" spans="1:4" x14ac:dyDescent="0.25">
      <c r="A1216" s="42">
        <f t="shared" si="20"/>
        <v>1215</v>
      </c>
      <c r="B1216" s="42" cm="1">
        <f t="array" aca="1" ref="B1216" ca="1">INDEX(Historical!$A$1:$A$18, RANDBETWEEN(1, COUNTA(Historical!$A$1:$A$18)))</f>
        <v>1.290909090909091</v>
      </c>
      <c r="C1216" s="42">
        <f ca="1">Inputs!$B$2/B1216</f>
        <v>173.52112676056336</v>
      </c>
      <c r="D1216" s="43">
        <f ca="1">WORKDAY(Inputs!$B$3, ROUND(C1216, 0),Sheet2!$A$2:$A$21)</f>
        <v>46273</v>
      </c>
    </row>
    <row r="1217" spans="1:4" x14ac:dyDescent="0.25">
      <c r="A1217" s="42">
        <f t="shared" si="20"/>
        <v>1216</v>
      </c>
      <c r="B1217" s="42" cm="1">
        <f t="array" aca="1" ref="B1217" ca="1">INDEX(Historical!$A$1:$A$18, RANDBETWEEN(1, COUNTA(Historical!$A$1:$A$18)))</f>
        <v>1.4038461538461537</v>
      </c>
      <c r="C1217" s="42">
        <f ca="1">Inputs!$B$2/B1217</f>
        <v>159.56164383561645</v>
      </c>
      <c r="D1217" s="43">
        <f ca="1">WORKDAY(Inputs!$B$3, ROUND(C1217, 0),Sheet2!$A$2:$A$21)</f>
        <v>46252</v>
      </c>
    </row>
    <row r="1218" spans="1:4" x14ac:dyDescent="0.25">
      <c r="A1218" s="42">
        <f t="shared" si="20"/>
        <v>1217</v>
      </c>
      <c r="B1218" s="42" cm="1">
        <f t="array" aca="1" ref="B1218" ca="1">INDEX(Historical!$A$1:$A$18, RANDBETWEEN(1, COUNTA(Historical!$A$1:$A$18)))</f>
        <v>1.3617021276595744</v>
      </c>
      <c r="C1218" s="42">
        <f ca="1">Inputs!$B$2/B1218</f>
        <v>164.5</v>
      </c>
      <c r="D1218" s="43">
        <f ca="1">WORKDAY(Inputs!$B$3, ROUND(C1218, 0),Sheet2!$A$2:$A$21)</f>
        <v>46259</v>
      </c>
    </row>
    <row r="1219" spans="1:4" x14ac:dyDescent="0.25">
      <c r="A1219" s="42">
        <f t="shared" ref="A1219:A1282" si="21">ROW()-1</f>
        <v>1218</v>
      </c>
      <c r="B1219" s="42" cm="1">
        <f t="array" aca="1" ref="B1219" ca="1">INDEX(Historical!$A$1:$A$18, RANDBETWEEN(1, COUNTA(Historical!$A$1:$A$18)))</f>
        <v>1.1666666666666667</v>
      </c>
      <c r="C1219" s="42">
        <f ca="1">Inputs!$B$2/B1219</f>
        <v>192</v>
      </c>
      <c r="D1219" s="43">
        <f ca="1">WORKDAY(Inputs!$B$3, ROUND(C1219, 0),Sheet2!$A$2:$A$21)</f>
        <v>46297</v>
      </c>
    </row>
    <row r="1220" spans="1:4" x14ac:dyDescent="0.25">
      <c r="A1220" s="42">
        <f t="shared" si="21"/>
        <v>1219</v>
      </c>
      <c r="B1220" s="42" cm="1">
        <f t="array" aca="1" ref="B1220" ca="1">INDEX(Historical!$A$1:$A$18, RANDBETWEEN(1, COUNTA(Historical!$A$1:$A$18)))</f>
        <v>1.4761904761904763</v>
      </c>
      <c r="C1220" s="42">
        <f ca="1">Inputs!$B$2/B1220</f>
        <v>151.74193548387095</v>
      </c>
      <c r="D1220" s="43">
        <f ca="1">WORKDAY(Inputs!$B$3, ROUND(C1220, 0),Sheet2!$A$2:$A$21)</f>
        <v>46240</v>
      </c>
    </row>
    <row r="1221" spans="1:4" x14ac:dyDescent="0.25">
      <c r="A1221" s="42">
        <f t="shared" si="21"/>
        <v>1220</v>
      </c>
      <c r="B1221" s="42" cm="1">
        <f t="array" aca="1" ref="B1221" ca="1">INDEX(Historical!$A$1:$A$18, RANDBETWEEN(1, COUNTA(Historical!$A$1:$A$18)))</f>
        <v>1.3559322033898304</v>
      </c>
      <c r="C1221" s="42">
        <f ca="1">Inputs!$B$2/B1221</f>
        <v>165.20000000000002</v>
      </c>
      <c r="D1221" s="43">
        <f ca="1">WORKDAY(Inputs!$B$3, ROUND(C1221, 0),Sheet2!$A$2:$A$21)</f>
        <v>46259</v>
      </c>
    </row>
    <row r="1222" spans="1:4" x14ac:dyDescent="0.25">
      <c r="A1222" s="42">
        <f t="shared" si="21"/>
        <v>1221</v>
      </c>
      <c r="B1222" s="42" cm="1">
        <f t="array" aca="1" ref="B1222" ca="1">INDEX(Historical!$A$1:$A$18, RANDBETWEEN(1, COUNTA(Historical!$A$1:$A$18)))</f>
        <v>1.3707865168539326</v>
      </c>
      <c r="C1222" s="42">
        <f ca="1">Inputs!$B$2/B1222</f>
        <v>163.40983606557376</v>
      </c>
      <c r="D1222" s="43">
        <f ca="1">WORKDAY(Inputs!$B$3, ROUND(C1222, 0),Sheet2!$A$2:$A$21)</f>
        <v>46255</v>
      </c>
    </row>
    <row r="1223" spans="1:4" x14ac:dyDescent="0.25">
      <c r="A1223" s="42">
        <f t="shared" si="21"/>
        <v>1222</v>
      </c>
      <c r="B1223" s="42" cm="1">
        <f t="array" aca="1" ref="B1223" ca="1">INDEX(Historical!$A$1:$A$18, RANDBETWEEN(1, COUNTA(Historical!$A$1:$A$18)))</f>
        <v>1.303030303030303</v>
      </c>
      <c r="C1223" s="42">
        <f ca="1">Inputs!$B$2/B1223</f>
        <v>171.90697674418604</v>
      </c>
      <c r="D1223" s="43">
        <f ca="1">WORKDAY(Inputs!$B$3, ROUND(C1223, 0),Sheet2!$A$2:$A$21)</f>
        <v>46268</v>
      </c>
    </row>
    <row r="1224" spans="1:4" x14ac:dyDescent="0.25">
      <c r="A1224" s="42">
        <f t="shared" si="21"/>
        <v>1223</v>
      </c>
      <c r="B1224" s="42" cm="1">
        <f t="array" aca="1" ref="B1224" ca="1">INDEX(Historical!$A$1:$A$18, RANDBETWEEN(1, COUNTA(Historical!$A$1:$A$18)))</f>
        <v>1.3214285714285714</v>
      </c>
      <c r="C1224" s="42">
        <f ca="1">Inputs!$B$2/B1224</f>
        <v>169.51351351351352</v>
      </c>
      <c r="D1224" s="43">
        <f ca="1">WORKDAY(Inputs!$B$3, ROUND(C1224, 0),Sheet2!$A$2:$A$21)</f>
        <v>46266</v>
      </c>
    </row>
    <row r="1225" spans="1:4" x14ac:dyDescent="0.25">
      <c r="A1225" s="42">
        <f t="shared" si="21"/>
        <v>1224</v>
      </c>
      <c r="B1225" s="42" cm="1">
        <f t="array" aca="1" ref="B1225" ca="1">INDEX(Historical!$A$1:$A$18, RANDBETWEEN(1, COUNTA(Historical!$A$1:$A$18)))</f>
        <v>1.4761904761904763</v>
      </c>
      <c r="C1225" s="42">
        <f ca="1">Inputs!$B$2/B1225</f>
        <v>151.74193548387095</v>
      </c>
      <c r="D1225" s="43">
        <f ca="1">WORKDAY(Inputs!$B$3, ROUND(C1225, 0),Sheet2!$A$2:$A$21)</f>
        <v>46240</v>
      </c>
    </row>
    <row r="1226" spans="1:4" x14ac:dyDescent="0.25">
      <c r="A1226" s="42">
        <f t="shared" si="21"/>
        <v>1225</v>
      </c>
      <c r="B1226" s="42" cm="1">
        <f t="array" aca="1" ref="B1226" ca="1">INDEX(Historical!$A$1:$A$18, RANDBETWEEN(1, COUNTA(Historical!$A$1:$A$18)))</f>
        <v>1.375</v>
      </c>
      <c r="C1226" s="42">
        <f ca="1">Inputs!$B$2/B1226</f>
        <v>162.90909090909091</v>
      </c>
      <c r="D1226" s="43">
        <f ca="1">WORKDAY(Inputs!$B$3, ROUND(C1226, 0),Sheet2!$A$2:$A$21)</f>
        <v>46255</v>
      </c>
    </row>
    <row r="1227" spans="1:4" x14ac:dyDescent="0.25">
      <c r="A1227" s="42">
        <f t="shared" si="21"/>
        <v>1226</v>
      </c>
      <c r="B1227" s="42" cm="1">
        <f t="array" aca="1" ref="B1227" ca="1">INDEX(Historical!$A$1:$A$18, RANDBETWEEN(1, COUNTA(Historical!$A$1:$A$18)))</f>
        <v>1.290909090909091</v>
      </c>
      <c r="C1227" s="42">
        <f ca="1">Inputs!$B$2/B1227</f>
        <v>173.52112676056336</v>
      </c>
      <c r="D1227" s="43">
        <f ca="1">WORKDAY(Inputs!$B$3, ROUND(C1227, 0),Sheet2!$A$2:$A$21)</f>
        <v>46273</v>
      </c>
    </row>
    <row r="1228" spans="1:4" x14ac:dyDescent="0.25">
      <c r="A1228" s="42">
        <f t="shared" si="21"/>
        <v>1227</v>
      </c>
      <c r="B1228" s="42" cm="1">
        <f t="array" aca="1" ref="B1228" ca="1">INDEX(Historical!$A$1:$A$18, RANDBETWEEN(1, COUNTA(Historical!$A$1:$A$18)))</f>
        <v>1.4761904761904763</v>
      </c>
      <c r="C1228" s="42">
        <f ca="1">Inputs!$B$2/B1228</f>
        <v>151.74193548387095</v>
      </c>
      <c r="D1228" s="43">
        <f ca="1">WORKDAY(Inputs!$B$3, ROUND(C1228, 0),Sheet2!$A$2:$A$21)</f>
        <v>46240</v>
      </c>
    </row>
    <row r="1229" spans="1:4" x14ac:dyDescent="0.25">
      <c r="A1229" s="42">
        <f t="shared" si="21"/>
        <v>1228</v>
      </c>
      <c r="B1229" s="42" cm="1">
        <f t="array" aca="1" ref="B1229" ca="1">INDEX(Historical!$A$1:$A$18, RANDBETWEEN(1, COUNTA(Historical!$A$1:$A$18)))</f>
        <v>1.3214285714285714</v>
      </c>
      <c r="C1229" s="42">
        <f ca="1">Inputs!$B$2/B1229</f>
        <v>169.51351351351352</v>
      </c>
      <c r="D1229" s="43">
        <f ca="1">WORKDAY(Inputs!$B$3, ROUND(C1229, 0),Sheet2!$A$2:$A$21)</f>
        <v>46266</v>
      </c>
    </row>
    <row r="1230" spans="1:4" x14ac:dyDescent="0.25">
      <c r="A1230" s="42">
        <f t="shared" si="21"/>
        <v>1229</v>
      </c>
      <c r="B1230" s="42" cm="1">
        <f t="array" aca="1" ref="B1230" ca="1">INDEX(Historical!$A$1:$A$18, RANDBETWEEN(1, COUNTA(Historical!$A$1:$A$18)))</f>
        <v>1.5</v>
      </c>
      <c r="C1230" s="42">
        <f ca="1">Inputs!$B$2/B1230</f>
        <v>149.33333333333334</v>
      </c>
      <c r="D1230" s="43">
        <f ca="1">WORKDAY(Inputs!$B$3, ROUND(C1230, 0),Sheet2!$A$2:$A$21)</f>
        <v>46237</v>
      </c>
    </row>
    <row r="1231" spans="1:4" x14ac:dyDescent="0.25">
      <c r="A1231" s="42">
        <f t="shared" si="21"/>
        <v>1230</v>
      </c>
      <c r="B1231" s="42" cm="1">
        <f t="array" aca="1" ref="B1231" ca="1">INDEX(Historical!$A$1:$A$18, RANDBETWEEN(1, COUNTA(Historical!$A$1:$A$18)))</f>
        <v>1.5</v>
      </c>
      <c r="C1231" s="42">
        <f ca="1">Inputs!$B$2/B1231</f>
        <v>149.33333333333334</v>
      </c>
      <c r="D1231" s="43">
        <f ca="1">WORKDAY(Inputs!$B$3, ROUND(C1231, 0),Sheet2!$A$2:$A$21)</f>
        <v>46237</v>
      </c>
    </row>
    <row r="1232" spans="1:4" x14ac:dyDescent="0.25">
      <c r="A1232" s="42">
        <f t="shared" si="21"/>
        <v>1231</v>
      </c>
      <c r="B1232" s="42" cm="1">
        <f t="array" aca="1" ref="B1232" ca="1">INDEX(Historical!$A$1:$A$18, RANDBETWEEN(1, COUNTA(Historical!$A$1:$A$18)))</f>
        <v>1.2941176470588236</v>
      </c>
      <c r="C1232" s="42">
        <f ca="1">Inputs!$B$2/B1232</f>
        <v>173.09090909090909</v>
      </c>
      <c r="D1232" s="43">
        <f ca="1">WORKDAY(Inputs!$B$3, ROUND(C1232, 0),Sheet2!$A$2:$A$21)</f>
        <v>46269</v>
      </c>
    </row>
    <row r="1233" spans="1:4" x14ac:dyDescent="0.25">
      <c r="A1233" s="42">
        <f t="shared" si="21"/>
        <v>1232</v>
      </c>
      <c r="B1233" s="42" cm="1">
        <f t="array" aca="1" ref="B1233" ca="1">INDEX(Historical!$A$1:$A$18, RANDBETWEEN(1, COUNTA(Historical!$A$1:$A$18)))</f>
        <v>1.3692307692307693</v>
      </c>
      <c r="C1233" s="42">
        <f ca="1">Inputs!$B$2/B1233</f>
        <v>163.59550561797752</v>
      </c>
      <c r="D1233" s="43">
        <f ca="1">WORKDAY(Inputs!$B$3, ROUND(C1233, 0),Sheet2!$A$2:$A$21)</f>
        <v>46258</v>
      </c>
    </row>
    <row r="1234" spans="1:4" x14ac:dyDescent="0.25">
      <c r="A1234" s="42">
        <f t="shared" si="21"/>
        <v>1233</v>
      </c>
      <c r="B1234" s="42" cm="1">
        <f t="array" aca="1" ref="B1234" ca="1">INDEX(Historical!$A$1:$A$18, RANDBETWEEN(1, COUNTA(Historical!$A$1:$A$18)))</f>
        <v>1.3692307692307693</v>
      </c>
      <c r="C1234" s="42">
        <f ca="1">Inputs!$B$2/B1234</f>
        <v>163.59550561797752</v>
      </c>
      <c r="D1234" s="43">
        <f ca="1">WORKDAY(Inputs!$B$3, ROUND(C1234, 0),Sheet2!$A$2:$A$21)</f>
        <v>46258</v>
      </c>
    </row>
    <row r="1235" spans="1:4" x14ac:dyDescent="0.25">
      <c r="A1235" s="42">
        <f t="shared" si="21"/>
        <v>1234</v>
      </c>
      <c r="B1235" s="42" cm="1">
        <f t="array" aca="1" ref="B1235" ca="1">INDEX(Historical!$A$1:$A$18, RANDBETWEEN(1, COUNTA(Historical!$A$1:$A$18)))</f>
        <v>1.5</v>
      </c>
      <c r="C1235" s="42">
        <f ca="1">Inputs!$B$2/B1235</f>
        <v>149.33333333333334</v>
      </c>
      <c r="D1235" s="43">
        <f ca="1">WORKDAY(Inputs!$B$3, ROUND(C1235, 0),Sheet2!$A$2:$A$21)</f>
        <v>46237</v>
      </c>
    </row>
    <row r="1236" spans="1:4" x14ac:dyDescent="0.25">
      <c r="A1236" s="42">
        <f t="shared" si="21"/>
        <v>1235</v>
      </c>
      <c r="B1236" s="42" cm="1">
        <f t="array" aca="1" ref="B1236" ca="1">INDEX(Historical!$A$1:$A$18, RANDBETWEEN(1, COUNTA(Historical!$A$1:$A$18)))</f>
        <v>1.3157894736842106</v>
      </c>
      <c r="C1236" s="42">
        <f ca="1">Inputs!$B$2/B1236</f>
        <v>170.23999999999998</v>
      </c>
      <c r="D1236" s="43">
        <f ca="1">WORKDAY(Inputs!$B$3, ROUND(C1236, 0),Sheet2!$A$2:$A$21)</f>
        <v>46266</v>
      </c>
    </row>
    <row r="1237" spans="1:4" x14ac:dyDescent="0.25">
      <c r="A1237" s="42">
        <f t="shared" si="21"/>
        <v>1236</v>
      </c>
      <c r="B1237" s="42" cm="1">
        <f t="array" aca="1" ref="B1237" ca="1">INDEX(Historical!$A$1:$A$18, RANDBETWEEN(1, COUNTA(Historical!$A$1:$A$18)))</f>
        <v>1.4347826086956521</v>
      </c>
      <c r="C1237" s="42">
        <f ca="1">Inputs!$B$2/B1237</f>
        <v>156.12121212121212</v>
      </c>
      <c r="D1237" s="43">
        <f ca="1">WORKDAY(Inputs!$B$3, ROUND(C1237, 0),Sheet2!$A$2:$A$21)</f>
        <v>46246</v>
      </c>
    </row>
    <row r="1238" spans="1:4" x14ac:dyDescent="0.25">
      <c r="A1238" s="42">
        <f t="shared" si="21"/>
        <v>1237</v>
      </c>
      <c r="B1238" s="42" cm="1">
        <f t="array" aca="1" ref="B1238" ca="1">INDEX(Historical!$A$1:$A$18, RANDBETWEEN(1, COUNTA(Historical!$A$1:$A$18)))</f>
        <v>1.303030303030303</v>
      </c>
      <c r="C1238" s="42">
        <f ca="1">Inputs!$B$2/B1238</f>
        <v>171.90697674418604</v>
      </c>
      <c r="D1238" s="43">
        <f ca="1">WORKDAY(Inputs!$B$3, ROUND(C1238, 0),Sheet2!$A$2:$A$21)</f>
        <v>46268</v>
      </c>
    </row>
    <row r="1239" spans="1:4" x14ac:dyDescent="0.25">
      <c r="A1239" s="42">
        <f t="shared" si="21"/>
        <v>1238</v>
      </c>
      <c r="B1239" s="42" cm="1">
        <f t="array" aca="1" ref="B1239" ca="1">INDEX(Historical!$A$1:$A$18, RANDBETWEEN(1, COUNTA(Historical!$A$1:$A$18)))</f>
        <v>1.3692307692307693</v>
      </c>
      <c r="C1239" s="42">
        <f ca="1">Inputs!$B$2/B1239</f>
        <v>163.59550561797752</v>
      </c>
      <c r="D1239" s="43">
        <f ca="1">WORKDAY(Inputs!$B$3, ROUND(C1239, 0),Sheet2!$A$2:$A$21)</f>
        <v>46258</v>
      </c>
    </row>
    <row r="1240" spans="1:4" x14ac:dyDescent="0.25">
      <c r="A1240" s="42">
        <f t="shared" si="21"/>
        <v>1239</v>
      </c>
      <c r="B1240" s="42" cm="1">
        <f t="array" aca="1" ref="B1240" ca="1">INDEX(Historical!$A$1:$A$18, RANDBETWEEN(1, COUNTA(Historical!$A$1:$A$18)))</f>
        <v>1.3559322033898304</v>
      </c>
      <c r="C1240" s="42">
        <f ca="1">Inputs!$B$2/B1240</f>
        <v>165.20000000000002</v>
      </c>
      <c r="D1240" s="43">
        <f ca="1">WORKDAY(Inputs!$B$3, ROUND(C1240, 0),Sheet2!$A$2:$A$21)</f>
        <v>46259</v>
      </c>
    </row>
    <row r="1241" spans="1:4" x14ac:dyDescent="0.25">
      <c r="A1241" s="42">
        <f t="shared" si="21"/>
        <v>1240</v>
      </c>
      <c r="B1241" s="42" cm="1">
        <f t="array" aca="1" ref="B1241" ca="1">INDEX(Historical!$A$1:$A$18, RANDBETWEEN(1, COUNTA(Historical!$A$1:$A$18)))</f>
        <v>1.4038461538461537</v>
      </c>
      <c r="C1241" s="42">
        <f ca="1">Inputs!$B$2/B1241</f>
        <v>159.56164383561645</v>
      </c>
      <c r="D1241" s="43">
        <f ca="1">WORKDAY(Inputs!$B$3, ROUND(C1241, 0),Sheet2!$A$2:$A$21)</f>
        <v>46252</v>
      </c>
    </row>
    <row r="1242" spans="1:4" x14ac:dyDescent="0.25">
      <c r="A1242" s="42">
        <f t="shared" si="21"/>
        <v>1241</v>
      </c>
      <c r="B1242" s="42" cm="1">
        <f t="array" aca="1" ref="B1242" ca="1">INDEX(Historical!$A$1:$A$18, RANDBETWEEN(1, COUNTA(Historical!$A$1:$A$18)))</f>
        <v>1.3157894736842106</v>
      </c>
      <c r="C1242" s="42">
        <f ca="1">Inputs!$B$2/B1242</f>
        <v>170.23999999999998</v>
      </c>
      <c r="D1242" s="43">
        <f ca="1">WORKDAY(Inputs!$B$3, ROUND(C1242, 0),Sheet2!$A$2:$A$21)</f>
        <v>46266</v>
      </c>
    </row>
    <row r="1243" spans="1:4" x14ac:dyDescent="0.25">
      <c r="A1243" s="42">
        <f t="shared" si="21"/>
        <v>1242</v>
      </c>
      <c r="B1243" s="42" cm="1">
        <f t="array" aca="1" ref="B1243" ca="1">INDEX(Historical!$A$1:$A$18, RANDBETWEEN(1, COUNTA(Historical!$A$1:$A$18)))</f>
        <v>1.3617021276595744</v>
      </c>
      <c r="C1243" s="42">
        <f ca="1">Inputs!$B$2/B1243</f>
        <v>164.5</v>
      </c>
      <c r="D1243" s="43">
        <f ca="1">WORKDAY(Inputs!$B$3, ROUND(C1243, 0),Sheet2!$A$2:$A$21)</f>
        <v>46259</v>
      </c>
    </row>
    <row r="1244" spans="1:4" x14ac:dyDescent="0.25">
      <c r="A1244" s="42">
        <f t="shared" si="21"/>
        <v>1243</v>
      </c>
      <c r="B1244" s="42" cm="1">
        <f t="array" aca="1" ref="B1244" ca="1">INDEX(Historical!$A$1:$A$18, RANDBETWEEN(1, COUNTA(Historical!$A$1:$A$18)))</f>
        <v>1.368421052631579</v>
      </c>
      <c r="C1244" s="42">
        <f ca="1">Inputs!$B$2/B1244</f>
        <v>163.69230769230768</v>
      </c>
      <c r="D1244" s="43">
        <f ca="1">WORKDAY(Inputs!$B$3, ROUND(C1244, 0),Sheet2!$A$2:$A$21)</f>
        <v>46258</v>
      </c>
    </row>
    <row r="1245" spans="1:4" x14ac:dyDescent="0.25">
      <c r="A1245" s="42">
        <f t="shared" si="21"/>
        <v>1244</v>
      </c>
      <c r="B1245" s="42" cm="1">
        <f t="array" aca="1" ref="B1245" ca="1">INDEX(Historical!$A$1:$A$18, RANDBETWEEN(1, COUNTA(Historical!$A$1:$A$18)))</f>
        <v>1.2941176470588236</v>
      </c>
      <c r="C1245" s="42">
        <f ca="1">Inputs!$B$2/B1245</f>
        <v>173.09090909090909</v>
      </c>
      <c r="D1245" s="43">
        <f ca="1">WORKDAY(Inputs!$B$3, ROUND(C1245, 0),Sheet2!$A$2:$A$21)</f>
        <v>46269</v>
      </c>
    </row>
    <row r="1246" spans="1:4" x14ac:dyDescent="0.25">
      <c r="A1246" s="42">
        <f t="shared" si="21"/>
        <v>1245</v>
      </c>
      <c r="B1246" s="42" cm="1">
        <f t="array" aca="1" ref="B1246" ca="1">INDEX(Historical!$A$1:$A$18, RANDBETWEEN(1, COUNTA(Historical!$A$1:$A$18)))</f>
        <v>1.4038461538461537</v>
      </c>
      <c r="C1246" s="42">
        <f ca="1">Inputs!$B$2/B1246</f>
        <v>159.56164383561645</v>
      </c>
      <c r="D1246" s="43">
        <f ca="1">WORKDAY(Inputs!$B$3, ROUND(C1246, 0),Sheet2!$A$2:$A$21)</f>
        <v>46252</v>
      </c>
    </row>
    <row r="1247" spans="1:4" x14ac:dyDescent="0.25">
      <c r="A1247" s="42">
        <f t="shared" si="21"/>
        <v>1246</v>
      </c>
      <c r="B1247" s="42" cm="1">
        <f t="array" aca="1" ref="B1247" ca="1">INDEX(Historical!$A$1:$A$18, RANDBETWEEN(1, COUNTA(Historical!$A$1:$A$18)))</f>
        <v>1.4137931034482758</v>
      </c>
      <c r="C1247" s="42">
        <f ca="1">Inputs!$B$2/B1247</f>
        <v>158.4390243902439</v>
      </c>
      <c r="D1247" s="43">
        <f ca="1">WORKDAY(Inputs!$B$3, ROUND(C1247, 0),Sheet2!$A$2:$A$21)</f>
        <v>46248</v>
      </c>
    </row>
    <row r="1248" spans="1:4" x14ac:dyDescent="0.25">
      <c r="A1248" s="42">
        <f t="shared" si="21"/>
        <v>1247</v>
      </c>
      <c r="B1248" s="42" cm="1">
        <f t="array" aca="1" ref="B1248" ca="1">INDEX(Historical!$A$1:$A$18, RANDBETWEEN(1, COUNTA(Historical!$A$1:$A$18)))</f>
        <v>1.368421052631579</v>
      </c>
      <c r="C1248" s="42">
        <f ca="1">Inputs!$B$2/B1248</f>
        <v>163.69230769230768</v>
      </c>
      <c r="D1248" s="43">
        <f ca="1">WORKDAY(Inputs!$B$3, ROUND(C1248, 0),Sheet2!$A$2:$A$21)</f>
        <v>46258</v>
      </c>
    </row>
    <row r="1249" spans="1:4" x14ac:dyDescent="0.25">
      <c r="A1249" s="42">
        <f t="shared" si="21"/>
        <v>1248</v>
      </c>
      <c r="B1249" s="42" cm="1">
        <f t="array" aca="1" ref="B1249" ca="1">INDEX(Historical!$A$1:$A$18, RANDBETWEEN(1, COUNTA(Historical!$A$1:$A$18)))</f>
        <v>1.290909090909091</v>
      </c>
      <c r="C1249" s="42">
        <f ca="1">Inputs!$B$2/B1249</f>
        <v>173.52112676056336</v>
      </c>
      <c r="D1249" s="43">
        <f ca="1">WORKDAY(Inputs!$B$3, ROUND(C1249, 0),Sheet2!$A$2:$A$21)</f>
        <v>46273</v>
      </c>
    </row>
    <row r="1250" spans="1:4" x14ac:dyDescent="0.25">
      <c r="A1250" s="42">
        <f t="shared" si="21"/>
        <v>1249</v>
      </c>
      <c r="B1250" s="42" cm="1">
        <f t="array" aca="1" ref="B1250" ca="1">INDEX(Historical!$A$1:$A$18, RANDBETWEEN(1, COUNTA(Historical!$A$1:$A$18)))</f>
        <v>1.3617021276595744</v>
      </c>
      <c r="C1250" s="42">
        <f ca="1">Inputs!$B$2/B1250</f>
        <v>164.5</v>
      </c>
      <c r="D1250" s="43">
        <f ca="1">WORKDAY(Inputs!$B$3, ROUND(C1250, 0),Sheet2!$A$2:$A$21)</f>
        <v>46259</v>
      </c>
    </row>
    <row r="1251" spans="1:4" x14ac:dyDescent="0.25">
      <c r="A1251" s="42">
        <f t="shared" si="21"/>
        <v>1250</v>
      </c>
      <c r="B1251" s="42" cm="1">
        <f t="array" aca="1" ref="B1251" ca="1">INDEX(Historical!$A$1:$A$18, RANDBETWEEN(1, COUNTA(Historical!$A$1:$A$18)))</f>
        <v>1.3157894736842106</v>
      </c>
      <c r="C1251" s="42">
        <f ca="1">Inputs!$B$2/B1251</f>
        <v>170.23999999999998</v>
      </c>
      <c r="D1251" s="43">
        <f ca="1">WORKDAY(Inputs!$B$3, ROUND(C1251, 0),Sheet2!$A$2:$A$21)</f>
        <v>46266</v>
      </c>
    </row>
    <row r="1252" spans="1:4" x14ac:dyDescent="0.25">
      <c r="A1252" s="42">
        <f t="shared" si="21"/>
        <v>1251</v>
      </c>
      <c r="B1252" s="42" cm="1">
        <f t="array" aca="1" ref="B1252" ca="1">INDEX(Historical!$A$1:$A$18, RANDBETWEEN(1, COUNTA(Historical!$A$1:$A$18)))</f>
        <v>1.1666666666666667</v>
      </c>
      <c r="C1252" s="42">
        <f ca="1">Inputs!$B$2/B1252</f>
        <v>192</v>
      </c>
      <c r="D1252" s="43">
        <f ca="1">WORKDAY(Inputs!$B$3, ROUND(C1252, 0),Sheet2!$A$2:$A$21)</f>
        <v>46297</v>
      </c>
    </row>
    <row r="1253" spans="1:4" x14ac:dyDescent="0.25">
      <c r="A1253" s="42">
        <f t="shared" si="21"/>
        <v>1252</v>
      </c>
      <c r="B1253" s="42" cm="1">
        <f t="array" aca="1" ref="B1253" ca="1">INDEX(Historical!$A$1:$A$18, RANDBETWEEN(1, COUNTA(Historical!$A$1:$A$18)))</f>
        <v>1.4347826086956521</v>
      </c>
      <c r="C1253" s="42">
        <f ca="1">Inputs!$B$2/B1253</f>
        <v>156.12121212121212</v>
      </c>
      <c r="D1253" s="43">
        <f ca="1">WORKDAY(Inputs!$B$3, ROUND(C1253, 0),Sheet2!$A$2:$A$21)</f>
        <v>46246</v>
      </c>
    </row>
    <row r="1254" spans="1:4" x14ac:dyDescent="0.25">
      <c r="A1254" s="42">
        <f t="shared" si="21"/>
        <v>1253</v>
      </c>
      <c r="B1254" s="42" cm="1">
        <f t="array" aca="1" ref="B1254" ca="1">INDEX(Historical!$A$1:$A$18, RANDBETWEEN(1, COUNTA(Historical!$A$1:$A$18)))</f>
        <v>1.4137931034482758</v>
      </c>
      <c r="C1254" s="42">
        <f ca="1">Inputs!$B$2/B1254</f>
        <v>158.4390243902439</v>
      </c>
      <c r="D1254" s="43">
        <f ca="1">WORKDAY(Inputs!$B$3, ROUND(C1254, 0),Sheet2!$A$2:$A$21)</f>
        <v>46248</v>
      </c>
    </row>
    <row r="1255" spans="1:4" x14ac:dyDescent="0.25">
      <c r="A1255" s="42">
        <f t="shared" si="21"/>
        <v>1254</v>
      </c>
      <c r="B1255" s="42" cm="1">
        <f t="array" aca="1" ref="B1255" ca="1">INDEX(Historical!$A$1:$A$18, RANDBETWEEN(1, COUNTA(Historical!$A$1:$A$18)))</f>
        <v>1.368421052631579</v>
      </c>
      <c r="C1255" s="42">
        <f ca="1">Inputs!$B$2/B1255</f>
        <v>163.69230769230768</v>
      </c>
      <c r="D1255" s="43">
        <f ca="1">WORKDAY(Inputs!$B$3, ROUND(C1255, 0),Sheet2!$A$2:$A$21)</f>
        <v>46258</v>
      </c>
    </row>
    <row r="1256" spans="1:4" x14ac:dyDescent="0.25">
      <c r="A1256" s="42">
        <f t="shared" si="21"/>
        <v>1255</v>
      </c>
      <c r="B1256" s="42" cm="1">
        <f t="array" aca="1" ref="B1256" ca="1">INDEX(Historical!$A$1:$A$18, RANDBETWEEN(1, COUNTA(Historical!$A$1:$A$18)))</f>
        <v>1.5</v>
      </c>
      <c r="C1256" s="42">
        <f ca="1">Inputs!$B$2/B1256</f>
        <v>149.33333333333334</v>
      </c>
      <c r="D1256" s="43">
        <f ca="1">WORKDAY(Inputs!$B$3, ROUND(C1256, 0),Sheet2!$A$2:$A$21)</f>
        <v>46237</v>
      </c>
    </row>
    <row r="1257" spans="1:4" x14ac:dyDescent="0.25">
      <c r="A1257" s="42">
        <f t="shared" si="21"/>
        <v>1256</v>
      </c>
      <c r="B1257" s="42" cm="1">
        <f t="array" aca="1" ref="B1257" ca="1">INDEX(Historical!$A$1:$A$18, RANDBETWEEN(1, COUNTA(Historical!$A$1:$A$18)))</f>
        <v>1.5</v>
      </c>
      <c r="C1257" s="42">
        <f ca="1">Inputs!$B$2/B1257</f>
        <v>149.33333333333334</v>
      </c>
      <c r="D1257" s="43">
        <f ca="1">WORKDAY(Inputs!$B$3, ROUND(C1257, 0),Sheet2!$A$2:$A$21)</f>
        <v>46237</v>
      </c>
    </row>
    <row r="1258" spans="1:4" x14ac:dyDescent="0.25">
      <c r="A1258" s="42">
        <f t="shared" si="21"/>
        <v>1257</v>
      </c>
      <c r="B1258" s="42" cm="1">
        <f t="array" aca="1" ref="B1258" ca="1">INDEX(Historical!$A$1:$A$18, RANDBETWEEN(1, COUNTA(Historical!$A$1:$A$18)))</f>
        <v>1.3214285714285714</v>
      </c>
      <c r="C1258" s="42">
        <f ca="1">Inputs!$B$2/B1258</f>
        <v>169.51351351351352</v>
      </c>
      <c r="D1258" s="43">
        <f ca="1">WORKDAY(Inputs!$B$3, ROUND(C1258, 0),Sheet2!$A$2:$A$21)</f>
        <v>46266</v>
      </c>
    </row>
    <row r="1259" spans="1:4" x14ac:dyDescent="0.25">
      <c r="A1259" s="42">
        <f t="shared" si="21"/>
        <v>1258</v>
      </c>
      <c r="B1259" s="42" cm="1">
        <f t="array" aca="1" ref="B1259" ca="1">INDEX(Historical!$A$1:$A$18, RANDBETWEEN(1, COUNTA(Historical!$A$1:$A$18)))</f>
        <v>1.3157894736842106</v>
      </c>
      <c r="C1259" s="42">
        <f ca="1">Inputs!$B$2/B1259</f>
        <v>170.23999999999998</v>
      </c>
      <c r="D1259" s="43">
        <f ca="1">WORKDAY(Inputs!$B$3, ROUND(C1259, 0),Sheet2!$A$2:$A$21)</f>
        <v>46266</v>
      </c>
    </row>
    <row r="1260" spans="1:4" x14ac:dyDescent="0.25">
      <c r="A1260" s="42">
        <f t="shared" si="21"/>
        <v>1259</v>
      </c>
      <c r="B1260" s="42" cm="1">
        <f t="array" aca="1" ref="B1260" ca="1">INDEX(Historical!$A$1:$A$18, RANDBETWEEN(1, COUNTA(Historical!$A$1:$A$18)))</f>
        <v>1.1666666666666667</v>
      </c>
      <c r="C1260" s="42">
        <f ca="1">Inputs!$B$2/B1260</f>
        <v>192</v>
      </c>
      <c r="D1260" s="43">
        <f ca="1">WORKDAY(Inputs!$B$3, ROUND(C1260, 0),Sheet2!$A$2:$A$21)</f>
        <v>46297</v>
      </c>
    </row>
    <row r="1261" spans="1:4" x14ac:dyDescent="0.25">
      <c r="A1261" s="42">
        <f t="shared" si="21"/>
        <v>1260</v>
      </c>
      <c r="B1261" s="42" cm="1">
        <f t="array" aca="1" ref="B1261" ca="1">INDEX(Historical!$A$1:$A$18, RANDBETWEEN(1, COUNTA(Historical!$A$1:$A$18)))</f>
        <v>1.3707865168539326</v>
      </c>
      <c r="C1261" s="42">
        <f ca="1">Inputs!$B$2/B1261</f>
        <v>163.40983606557376</v>
      </c>
      <c r="D1261" s="43">
        <f ca="1">WORKDAY(Inputs!$B$3, ROUND(C1261, 0),Sheet2!$A$2:$A$21)</f>
        <v>46255</v>
      </c>
    </row>
    <row r="1262" spans="1:4" x14ac:dyDescent="0.25">
      <c r="A1262" s="42">
        <f t="shared" si="21"/>
        <v>1261</v>
      </c>
      <c r="B1262" s="42" cm="1">
        <f t="array" aca="1" ref="B1262" ca="1">INDEX(Historical!$A$1:$A$18, RANDBETWEEN(1, COUNTA(Historical!$A$1:$A$18)))</f>
        <v>1.290909090909091</v>
      </c>
      <c r="C1262" s="42">
        <f ca="1">Inputs!$B$2/B1262</f>
        <v>173.52112676056336</v>
      </c>
      <c r="D1262" s="43">
        <f ca="1">WORKDAY(Inputs!$B$3, ROUND(C1262, 0),Sheet2!$A$2:$A$21)</f>
        <v>46273</v>
      </c>
    </row>
    <row r="1263" spans="1:4" x14ac:dyDescent="0.25">
      <c r="A1263" s="42">
        <f t="shared" si="21"/>
        <v>1262</v>
      </c>
      <c r="B1263" s="42" cm="1">
        <f t="array" aca="1" ref="B1263" ca="1">INDEX(Historical!$A$1:$A$18, RANDBETWEEN(1, COUNTA(Historical!$A$1:$A$18)))</f>
        <v>1.3214285714285714</v>
      </c>
      <c r="C1263" s="42">
        <f ca="1">Inputs!$B$2/B1263</f>
        <v>169.51351351351352</v>
      </c>
      <c r="D1263" s="43">
        <f ca="1">WORKDAY(Inputs!$B$3, ROUND(C1263, 0),Sheet2!$A$2:$A$21)</f>
        <v>46266</v>
      </c>
    </row>
    <row r="1264" spans="1:4" x14ac:dyDescent="0.25">
      <c r="A1264" s="42">
        <f t="shared" si="21"/>
        <v>1263</v>
      </c>
      <c r="B1264" s="42" cm="1">
        <f t="array" aca="1" ref="B1264" ca="1">INDEX(Historical!$A$1:$A$18, RANDBETWEEN(1, COUNTA(Historical!$A$1:$A$18)))</f>
        <v>1.4347826086956521</v>
      </c>
      <c r="C1264" s="42">
        <f ca="1">Inputs!$B$2/B1264</f>
        <v>156.12121212121212</v>
      </c>
      <c r="D1264" s="43">
        <f ca="1">WORKDAY(Inputs!$B$3, ROUND(C1264, 0),Sheet2!$A$2:$A$21)</f>
        <v>46246</v>
      </c>
    </row>
    <row r="1265" spans="1:4" x14ac:dyDescent="0.25">
      <c r="A1265" s="42">
        <f t="shared" si="21"/>
        <v>1264</v>
      </c>
      <c r="B1265" s="42" cm="1">
        <f t="array" aca="1" ref="B1265" ca="1">INDEX(Historical!$A$1:$A$18, RANDBETWEEN(1, COUNTA(Historical!$A$1:$A$18)))</f>
        <v>1.3692307692307693</v>
      </c>
      <c r="C1265" s="42">
        <f ca="1">Inputs!$B$2/B1265</f>
        <v>163.59550561797752</v>
      </c>
      <c r="D1265" s="43">
        <f ca="1">WORKDAY(Inputs!$B$3, ROUND(C1265, 0),Sheet2!$A$2:$A$21)</f>
        <v>46258</v>
      </c>
    </row>
    <row r="1266" spans="1:4" x14ac:dyDescent="0.25">
      <c r="A1266" s="42">
        <f t="shared" si="21"/>
        <v>1265</v>
      </c>
      <c r="B1266" s="42" cm="1">
        <f t="array" aca="1" ref="B1266" ca="1">INDEX(Historical!$A$1:$A$18, RANDBETWEEN(1, COUNTA(Historical!$A$1:$A$18)))</f>
        <v>1.4347826086956521</v>
      </c>
      <c r="C1266" s="42">
        <f ca="1">Inputs!$B$2/B1266</f>
        <v>156.12121212121212</v>
      </c>
      <c r="D1266" s="43">
        <f ca="1">WORKDAY(Inputs!$B$3, ROUND(C1266, 0),Sheet2!$A$2:$A$21)</f>
        <v>46246</v>
      </c>
    </row>
    <row r="1267" spans="1:4" x14ac:dyDescent="0.25">
      <c r="A1267" s="42">
        <f t="shared" si="21"/>
        <v>1266</v>
      </c>
      <c r="B1267" s="42" cm="1">
        <f t="array" aca="1" ref="B1267" ca="1">INDEX(Historical!$A$1:$A$18, RANDBETWEEN(1, COUNTA(Historical!$A$1:$A$18)))</f>
        <v>1.3559322033898304</v>
      </c>
      <c r="C1267" s="42">
        <f ca="1">Inputs!$B$2/B1267</f>
        <v>165.20000000000002</v>
      </c>
      <c r="D1267" s="43">
        <f ca="1">WORKDAY(Inputs!$B$3, ROUND(C1267, 0),Sheet2!$A$2:$A$21)</f>
        <v>46259</v>
      </c>
    </row>
    <row r="1268" spans="1:4" x14ac:dyDescent="0.25">
      <c r="A1268" s="42">
        <f t="shared" si="21"/>
        <v>1267</v>
      </c>
      <c r="B1268" s="42" cm="1">
        <f t="array" aca="1" ref="B1268" ca="1">INDEX(Historical!$A$1:$A$18, RANDBETWEEN(1, COUNTA(Historical!$A$1:$A$18)))</f>
        <v>1.3559322033898304</v>
      </c>
      <c r="C1268" s="42">
        <f ca="1">Inputs!$B$2/B1268</f>
        <v>165.20000000000002</v>
      </c>
      <c r="D1268" s="43">
        <f ca="1">WORKDAY(Inputs!$B$3, ROUND(C1268, 0),Sheet2!$A$2:$A$21)</f>
        <v>46259</v>
      </c>
    </row>
    <row r="1269" spans="1:4" x14ac:dyDescent="0.25">
      <c r="A1269" s="42">
        <f t="shared" si="21"/>
        <v>1268</v>
      </c>
      <c r="B1269" s="42" cm="1">
        <f t="array" aca="1" ref="B1269" ca="1">INDEX(Historical!$A$1:$A$18, RANDBETWEEN(1, COUNTA(Historical!$A$1:$A$18)))</f>
        <v>1.1666666666666667</v>
      </c>
      <c r="C1269" s="42">
        <f ca="1">Inputs!$B$2/B1269</f>
        <v>192</v>
      </c>
      <c r="D1269" s="43">
        <f ca="1">WORKDAY(Inputs!$B$3, ROUND(C1269, 0),Sheet2!$A$2:$A$21)</f>
        <v>46297</v>
      </c>
    </row>
    <row r="1270" spans="1:4" x14ac:dyDescent="0.25">
      <c r="A1270" s="42">
        <f t="shared" si="21"/>
        <v>1269</v>
      </c>
      <c r="B1270" s="42" cm="1">
        <f t="array" aca="1" ref="B1270" ca="1">INDEX(Historical!$A$1:$A$18, RANDBETWEEN(1, COUNTA(Historical!$A$1:$A$18)))</f>
        <v>1.3707865168539326</v>
      </c>
      <c r="C1270" s="42">
        <f ca="1">Inputs!$B$2/B1270</f>
        <v>163.40983606557376</v>
      </c>
      <c r="D1270" s="43">
        <f ca="1">WORKDAY(Inputs!$B$3, ROUND(C1270, 0),Sheet2!$A$2:$A$21)</f>
        <v>46255</v>
      </c>
    </row>
    <row r="1271" spans="1:4" x14ac:dyDescent="0.25">
      <c r="A1271" s="42">
        <f t="shared" si="21"/>
        <v>1270</v>
      </c>
      <c r="B1271" s="42" cm="1">
        <f t="array" aca="1" ref="B1271" ca="1">INDEX(Historical!$A$1:$A$18, RANDBETWEEN(1, COUNTA(Historical!$A$1:$A$18)))</f>
        <v>1.1666666666666667</v>
      </c>
      <c r="C1271" s="42">
        <f ca="1">Inputs!$B$2/B1271</f>
        <v>192</v>
      </c>
      <c r="D1271" s="43">
        <f ca="1">WORKDAY(Inputs!$B$3, ROUND(C1271, 0),Sheet2!$A$2:$A$21)</f>
        <v>46297</v>
      </c>
    </row>
    <row r="1272" spans="1:4" x14ac:dyDescent="0.25">
      <c r="A1272" s="42">
        <f t="shared" si="21"/>
        <v>1271</v>
      </c>
      <c r="B1272" s="42" cm="1">
        <f t="array" aca="1" ref="B1272" ca="1">INDEX(Historical!$A$1:$A$18, RANDBETWEEN(1, COUNTA(Historical!$A$1:$A$18)))</f>
        <v>1.3157894736842106</v>
      </c>
      <c r="C1272" s="42">
        <f ca="1">Inputs!$B$2/B1272</f>
        <v>170.23999999999998</v>
      </c>
      <c r="D1272" s="43">
        <f ca="1">WORKDAY(Inputs!$B$3, ROUND(C1272, 0),Sheet2!$A$2:$A$21)</f>
        <v>46266</v>
      </c>
    </row>
    <row r="1273" spans="1:4" x14ac:dyDescent="0.25">
      <c r="A1273" s="42">
        <f t="shared" si="21"/>
        <v>1272</v>
      </c>
      <c r="B1273" s="42" cm="1">
        <f t="array" aca="1" ref="B1273" ca="1">INDEX(Historical!$A$1:$A$18, RANDBETWEEN(1, COUNTA(Historical!$A$1:$A$18)))</f>
        <v>1.303030303030303</v>
      </c>
      <c r="C1273" s="42">
        <f ca="1">Inputs!$B$2/B1273</f>
        <v>171.90697674418604</v>
      </c>
      <c r="D1273" s="43">
        <f ca="1">WORKDAY(Inputs!$B$3, ROUND(C1273, 0),Sheet2!$A$2:$A$21)</f>
        <v>46268</v>
      </c>
    </row>
    <row r="1274" spans="1:4" x14ac:dyDescent="0.25">
      <c r="A1274" s="42">
        <f t="shared" si="21"/>
        <v>1273</v>
      </c>
      <c r="B1274" s="42" cm="1">
        <f t="array" aca="1" ref="B1274" ca="1">INDEX(Historical!$A$1:$A$18, RANDBETWEEN(1, COUNTA(Historical!$A$1:$A$18)))</f>
        <v>1.368421052631579</v>
      </c>
      <c r="C1274" s="42">
        <f ca="1">Inputs!$B$2/B1274</f>
        <v>163.69230769230768</v>
      </c>
      <c r="D1274" s="43">
        <f ca="1">WORKDAY(Inputs!$B$3, ROUND(C1274, 0),Sheet2!$A$2:$A$21)</f>
        <v>46258</v>
      </c>
    </row>
    <row r="1275" spans="1:4" x14ac:dyDescent="0.25">
      <c r="A1275" s="42">
        <f t="shared" si="21"/>
        <v>1274</v>
      </c>
      <c r="B1275" s="42" cm="1">
        <f t="array" aca="1" ref="B1275" ca="1">INDEX(Historical!$A$1:$A$18, RANDBETWEEN(1, COUNTA(Historical!$A$1:$A$18)))</f>
        <v>1.1666666666666667</v>
      </c>
      <c r="C1275" s="42">
        <f ca="1">Inputs!$B$2/B1275</f>
        <v>192</v>
      </c>
      <c r="D1275" s="43">
        <f ca="1">WORKDAY(Inputs!$B$3, ROUND(C1275, 0),Sheet2!$A$2:$A$21)</f>
        <v>46297</v>
      </c>
    </row>
    <row r="1276" spans="1:4" x14ac:dyDescent="0.25">
      <c r="A1276" s="42">
        <f t="shared" si="21"/>
        <v>1275</v>
      </c>
      <c r="B1276" s="42" cm="1">
        <f t="array" aca="1" ref="B1276" ca="1">INDEX(Historical!$A$1:$A$18, RANDBETWEEN(1, COUNTA(Historical!$A$1:$A$18)))</f>
        <v>1.3617021276595744</v>
      </c>
      <c r="C1276" s="42">
        <f ca="1">Inputs!$B$2/B1276</f>
        <v>164.5</v>
      </c>
      <c r="D1276" s="43">
        <f ca="1">WORKDAY(Inputs!$B$3, ROUND(C1276, 0),Sheet2!$A$2:$A$21)</f>
        <v>46259</v>
      </c>
    </row>
    <row r="1277" spans="1:4" x14ac:dyDescent="0.25">
      <c r="A1277" s="42">
        <f t="shared" si="21"/>
        <v>1276</v>
      </c>
      <c r="B1277" s="42" cm="1">
        <f t="array" aca="1" ref="B1277" ca="1">INDEX(Historical!$A$1:$A$18, RANDBETWEEN(1, COUNTA(Historical!$A$1:$A$18)))</f>
        <v>1.3611111111111112</v>
      </c>
      <c r="C1277" s="42">
        <f ca="1">Inputs!$B$2/B1277</f>
        <v>164.57142857142856</v>
      </c>
      <c r="D1277" s="43">
        <f ca="1">WORKDAY(Inputs!$B$3, ROUND(C1277, 0),Sheet2!$A$2:$A$21)</f>
        <v>46259</v>
      </c>
    </row>
    <row r="1278" spans="1:4" x14ac:dyDescent="0.25">
      <c r="A1278" s="42">
        <f t="shared" si="21"/>
        <v>1277</v>
      </c>
      <c r="B1278" s="42" cm="1">
        <f t="array" aca="1" ref="B1278" ca="1">INDEX(Historical!$A$1:$A$18, RANDBETWEEN(1, COUNTA(Historical!$A$1:$A$18)))</f>
        <v>1.3617021276595744</v>
      </c>
      <c r="C1278" s="42">
        <f ca="1">Inputs!$B$2/B1278</f>
        <v>164.5</v>
      </c>
      <c r="D1278" s="43">
        <f ca="1">WORKDAY(Inputs!$B$3, ROUND(C1278, 0),Sheet2!$A$2:$A$21)</f>
        <v>46259</v>
      </c>
    </row>
    <row r="1279" spans="1:4" x14ac:dyDescent="0.25">
      <c r="A1279" s="42">
        <f t="shared" si="21"/>
        <v>1278</v>
      </c>
      <c r="B1279" s="42" cm="1">
        <f t="array" aca="1" ref="B1279" ca="1">INDEX(Historical!$A$1:$A$18, RANDBETWEEN(1, COUNTA(Historical!$A$1:$A$18)))</f>
        <v>1.303030303030303</v>
      </c>
      <c r="C1279" s="42">
        <f ca="1">Inputs!$B$2/B1279</f>
        <v>171.90697674418604</v>
      </c>
      <c r="D1279" s="43">
        <f ca="1">WORKDAY(Inputs!$B$3, ROUND(C1279, 0),Sheet2!$A$2:$A$21)</f>
        <v>46268</v>
      </c>
    </row>
    <row r="1280" spans="1:4" x14ac:dyDescent="0.25">
      <c r="A1280" s="42">
        <f t="shared" si="21"/>
        <v>1279</v>
      </c>
      <c r="B1280" s="42" cm="1">
        <f t="array" aca="1" ref="B1280" ca="1">INDEX(Historical!$A$1:$A$18, RANDBETWEEN(1, COUNTA(Historical!$A$1:$A$18)))</f>
        <v>1.3559322033898304</v>
      </c>
      <c r="C1280" s="42">
        <f ca="1">Inputs!$B$2/B1280</f>
        <v>165.20000000000002</v>
      </c>
      <c r="D1280" s="43">
        <f ca="1">WORKDAY(Inputs!$B$3, ROUND(C1280, 0),Sheet2!$A$2:$A$21)</f>
        <v>46259</v>
      </c>
    </row>
    <row r="1281" spans="1:4" x14ac:dyDescent="0.25">
      <c r="A1281" s="42">
        <f t="shared" si="21"/>
        <v>1280</v>
      </c>
      <c r="B1281" s="42" cm="1">
        <f t="array" aca="1" ref="B1281" ca="1">INDEX(Historical!$A$1:$A$18, RANDBETWEEN(1, COUNTA(Historical!$A$1:$A$18)))</f>
        <v>1.3707865168539326</v>
      </c>
      <c r="C1281" s="42">
        <f ca="1">Inputs!$B$2/B1281</f>
        <v>163.40983606557376</v>
      </c>
      <c r="D1281" s="43">
        <f ca="1">WORKDAY(Inputs!$B$3, ROUND(C1281, 0),Sheet2!$A$2:$A$21)</f>
        <v>46255</v>
      </c>
    </row>
    <row r="1282" spans="1:4" x14ac:dyDescent="0.25">
      <c r="A1282" s="42">
        <f t="shared" si="21"/>
        <v>1281</v>
      </c>
      <c r="B1282" s="42" cm="1">
        <f t="array" aca="1" ref="B1282" ca="1">INDEX(Historical!$A$1:$A$18, RANDBETWEEN(1, COUNTA(Historical!$A$1:$A$18)))</f>
        <v>1.4347826086956521</v>
      </c>
      <c r="C1282" s="42">
        <f ca="1">Inputs!$B$2/B1282</f>
        <v>156.12121212121212</v>
      </c>
      <c r="D1282" s="43">
        <f ca="1">WORKDAY(Inputs!$B$3, ROUND(C1282, 0),Sheet2!$A$2:$A$21)</f>
        <v>46246</v>
      </c>
    </row>
    <row r="1283" spans="1:4" x14ac:dyDescent="0.25">
      <c r="A1283" s="42">
        <f t="shared" ref="A1283:A1346" si="22">ROW()-1</f>
        <v>1282</v>
      </c>
      <c r="B1283" s="42" cm="1">
        <f t="array" aca="1" ref="B1283" ca="1">INDEX(Historical!$A$1:$A$18, RANDBETWEEN(1, COUNTA(Historical!$A$1:$A$18)))</f>
        <v>1.3617021276595744</v>
      </c>
      <c r="C1283" s="42">
        <f ca="1">Inputs!$B$2/B1283</f>
        <v>164.5</v>
      </c>
      <c r="D1283" s="43">
        <f ca="1">WORKDAY(Inputs!$B$3, ROUND(C1283, 0),Sheet2!$A$2:$A$21)</f>
        <v>46259</v>
      </c>
    </row>
    <row r="1284" spans="1:4" x14ac:dyDescent="0.25">
      <c r="A1284" s="42">
        <f t="shared" si="22"/>
        <v>1283</v>
      </c>
      <c r="B1284" s="42" cm="1">
        <f t="array" aca="1" ref="B1284" ca="1">INDEX(Historical!$A$1:$A$18, RANDBETWEEN(1, COUNTA(Historical!$A$1:$A$18)))</f>
        <v>1.368421052631579</v>
      </c>
      <c r="C1284" s="42">
        <f ca="1">Inputs!$B$2/B1284</f>
        <v>163.69230769230768</v>
      </c>
      <c r="D1284" s="43">
        <f ca="1">WORKDAY(Inputs!$B$3, ROUND(C1284, 0),Sheet2!$A$2:$A$21)</f>
        <v>46258</v>
      </c>
    </row>
    <row r="1285" spans="1:4" x14ac:dyDescent="0.25">
      <c r="A1285" s="42">
        <f t="shared" si="22"/>
        <v>1284</v>
      </c>
      <c r="B1285" s="42" cm="1">
        <f t="array" aca="1" ref="B1285" ca="1">INDEX(Historical!$A$1:$A$18, RANDBETWEEN(1, COUNTA(Historical!$A$1:$A$18)))</f>
        <v>1.3157894736842106</v>
      </c>
      <c r="C1285" s="42">
        <f ca="1">Inputs!$B$2/B1285</f>
        <v>170.23999999999998</v>
      </c>
      <c r="D1285" s="43">
        <f ca="1">WORKDAY(Inputs!$B$3, ROUND(C1285, 0),Sheet2!$A$2:$A$21)</f>
        <v>46266</v>
      </c>
    </row>
    <row r="1286" spans="1:4" x14ac:dyDescent="0.25">
      <c r="A1286" s="42">
        <f t="shared" si="22"/>
        <v>1285</v>
      </c>
      <c r="B1286" s="42" cm="1">
        <f t="array" aca="1" ref="B1286" ca="1">INDEX(Historical!$A$1:$A$18, RANDBETWEEN(1, COUNTA(Historical!$A$1:$A$18)))</f>
        <v>1.3617021276595744</v>
      </c>
      <c r="C1286" s="42">
        <f ca="1">Inputs!$B$2/B1286</f>
        <v>164.5</v>
      </c>
      <c r="D1286" s="43">
        <f ca="1">WORKDAY(Inputs!$B$3, ROUND(C1286, 0),Sheet2!$A$2:$A$21)</f>
        <v>46259</v>
      </c>
    </row>
    <row r="1287" spans="1:4" x14ac:dyDescent="0.25">
      <c r="A1287" s="42">
        <f t="shared" si="22"/>
        <v>1286</v>
      </c>
      <c r="B1287" s="42" cm="1">
        <f t="array" aca="1" ref="B1287" ca="1">INDEX(Historical!$A$1:$A$18, RANDBETWEEN(1, COUNTA(Historical!$A$1:$A$18)))</f>
        <v>1.3692307692307693</v>
      </c>
      <c r="C1287" s="42">
        <f ca="1">Inputs!$B$2/B1287</f>
        <v>163.59550561797752</v>
      </c>
      <c r="D1287" s="43">
        <f ca="1">WORKDAY(Inputs!$B$3, ROUND(C1287, 0),Sheet2!$A$2:$A$21)</f>
        <v>46258</v>
      </c>
    </row>
    <row r="1288" spans="1:4" x14ac:dyDescent="0.25">
      <c r="A1288" s="42">
        <f t="shared" si="22"/>
        <v>1287</v>
      </c>
      <c r="B1288" s="42" cm="1">
        <f t="array" aca="1" ref="B1288" ca="1">INDEX(Historical!$A$1:$A$18, RANDBETWEEN(1, COUNTA(Historical!$A$1:$A$18)))</f>
        <v>1.4347826086956521</v>
      </c>
      <c r="C1288" s="42">
        <f ca="1">Inputs!$B$2/B1288</f>
        <v>156.12121212121212</v>
      </c>
      <c r="D1288" s="43">
        <f ca="1">WORKDAY(Inputs!$B$3, ROUND(C1288, 0),Sheet2!$A$2:$A$21)</f>
        <v>46246</v>
      </c>
    </row>
    <row r="1289" spans="1:4" x14ac:dyDescent="0.25">
      <c r="A1289" s="42">
        <f t="shared" si="22"/>
        <v>1288</v>
      </c>
      <c r="B1289" s="42" cm="1">
        <f t="array" aca="1" ref="B1289" ca="1">INDEX(Historical!$A$1:$A$18, RANDBETWEEN(1, COUNTA(Historical!$A$1:$A$18)))</f>
        <v>1.3559322033898304</v>
      </c>
      <c r="C1289" s="42">
        <f ca="1">Inputs!$B$2/B1289</f>
        <v>165.20000000000002</v>
      </c>
      <c r="D1289" s="43">
        <f ca="1">WORKDAY(Inputs!$B$3, ROUND(C1289, 0),Sheet2!$A$2:$A$21)</f>
        <v>46259</v>
      </c>
    </row>
    <row r="1290" spans="1:4" x14ac:dyDescent="0.25">
      <c r="A1290" s="42">
        <f t="shared" si="22"/>
        <v>1289</v>
      </c>
      <c r="B1290" s="42" cm="1">
        <f t="array" aca="1" ref="B1290" ca="1">INDEX(Historical!$A$1:$A$18, RANDBETWEEN(1, COUNTA(Historical!$A$1:$A$18)))</f>
        <v>1.2941176470588236</v>
      </c>
      <c r="C1290" s="42">
        <f ca="1">Inputs!$B$2/B1290</f>
        <v>173.09090909090909</v>
      </c>
      <c r="D1290" s="43">
        <f ca="1">WORKDAY(Inputs!$B$3, ROUND(C1290, 0),Sheet2!$A$2:$A$21)</f>
        <v>46269</v>
      </c>
    </row>
    <row r="1291" spans="1:4" x14ac:dyDescent="0.25">
      <c r="A1291" s="42">
        <f t="shared" si="22"/>
        <v>1290</v>
      </c>
      <c r="B1291" s="42" cm="1">
        <f t="array" aca="1" ref="B1291" ca="1">INDEX(Historical!$A$1:$A$18, RANDBETWEEN(1, COUNTA(Historical!$A$1:$A$18)))</f>
        <v>1.3617021276595744</v>
      </c>
      <c r="C1291" s="42">
        <f ca="1">Inputs!$B$2/B1291</f>
        <v>164.5</v>
      </c>
      <c r="D1291" s="43">
        <f ca="1">WORKDAY(Inputs!$B$3, ROUND(C1291, 0),Sheet2!$A$2:$A$21)</f>
        <v>46259</v>
      </c>
    </row>
    <row r="1292" spans="1:4" x14ac:dyDescent="0.25">
      <c r="A1292" s="42">
        <f t="shared" si="22"/>
        <v>1291</v>
      </c>
      <c r="B1292" s="42" cm="1">
        <f t="array" aca="1" ref="B1292" ca="1">INDEX(Historical!$A$1:$A$18, RANDBETWEEN(1, COUNTA(Historical!$A$1:$A$18)))</f>
        <v>1.368421052631579</v>
      </c>
      <c r="C1292" s="42">
        <f ca="1">Inputs!$B$2/B1292</f>
        <v>163.69230769230768</v>
      </c>
      <c r="D1292" s="43">
        <f ca="1">WORKDAY(Inputs!$B$3, ROUND(C1292, 0),Sheet2!$A$2:$A$21)</f>
        <v>46258</v>
      </c>
    </row>
    <row r="1293" spans="1:4" x14ac:dyDescent="0.25">
      <c r="A1293" s="42">
        <f t="shared" si="22"/>
        <v>1292</v>
      </c>
      <c r="B1293" s="42" cm="1">
        <f t="array" aca="1" ref="B1293" ca="1">INDEX(Historical!$A$1:$A$18, RANDBETWEEN(1, COUNTA(Historical!$A$1:$A$18)))</f>
        <v>1.5</v>
      </c>
      <c r="C1293" s="42">
        <f ca="1">Inputs!$B$2/B1293</f>
        <v>149.33333333333334</v>
      </c>
      <c r="D1293" s="43">
        <f ca="1">WORKDAY(Inputs!$B$3, ROUND(C1293, 0),Sheet2!$A$2:$A$21)</f>
        <v>46237</v>
      </c>
    </row>
    <row r="1294" spans="1:4" x14ac:dyDescent="0.25">
      <c r="A1294" s="42">
        <f t="shared" si="22"/>
        <v>1293</v>
      </c>
      <c r="B1294" s="42" cm="1">
        <f t="array" aca="1" ref="B1294" ca="1">INDEX(Historical!$A$1:$A$18, RANDBETWEEN(1, COUNTA(Historical!$A$1:$A$18)))</f>
        <v>1.4038461538461537</v>
      </c>
      <c r="C1294" s="42">
        <f ca="1">Inputs!$B$2/B1294</f>
        <v>159.56164383561645</v>
      </c>
      <c r="D1294" s="43">
        <f ca="1">WORKDAY(Inputs!$B$3, ROUND(C1294, 0),Sheet2!$A$2:$A$21)</f>
        <v>46252</v>
      </c>
    </row>
    <row r="1295" spans="1:4" x14ac:dyDescent="0.25">
      <c r="A1295" s="42">
        <f t="shared" si="22"/>
        <v>1294</v>
      </c>
      <c r="B1295" s="42" cm="1">
        <f t="array" aca="1" ref="B1295" ca="1">INDEX(Historical!$A$1:$A$18, RANDBETWEEN(1, COUNTA(Historical!$A$1:$A$18)))</f>
        <v>1.3617021276595744</v>
      </c>
      <c r="C1295" s="42">
        <f ca="1">Inputs!$B$2/B1295</f>
        <v>164.5</v>
      </c>
      <c r="D1295" s="43">
        <f ca="1">WORKDAY(Inputs!$B$3, ROUND(C1295, 0),Sheet2!$A$2:$A$21)</f>
        <v>46259</v>
      </c>
    </row>
    <row r="1296" spans="1:4" x14ac:dyDescent="0.25">
      <c r="A1296" s="42">
        <f t="shared" si="22"/>
        <v>1295</v>
      </c>
      <c r="B1296" s="42" cm="1">
        <f t="array" aca="1" ref="B1296" ca="1">INDEX(Historical!$A$1:$A$18, RANDBETWEEN(1, COUNTA(Historical!$A$1:$A$18)))</f>
        <v>1.3214285714285714</v>
      </c>
      <c r="C1296" s="42">
        <f ca="1">Inputs!$B$2/B1296</f>
        <v>169.51351351351352</v>
      </c>
      <c r="D1296" s="43">
        <f ca="1">WORKDAY(Inputs!$B$3, ROUND(C1296, 0),Sheet2!$A$2:$A$21)</f>
        <v>46266</v>
      </c>
    </row>
    <row r="1297" spans="1:4" x14ac:dyDescent="0.25">
      <c r="A1297" s="42">
        <f t="shared" si="22"/>
        <v>1296</v>
      </c>
      <c r="B1297" s="42" cm="1">
        <f t="array" aca="1" ref="B1297" ca="1">INDEX(Historical!$A$1:$A$18, RANDBETWEEN(1, COUNTA(Historical!$A$1:$A$18)))</f>
        <v>1.3617021276595744</v>
      </c>
      <c r="C1297" s="42">
        <f ca="1">Inputs!$B$2/B1297</f>
        <v>164.5</v>
      </c>
      <c r="D1297" s="43">
        <f ca="1">WORKDAY(Inputs!$B$3, ROUND(C1297, 0),Sheet2!$A$2:$A$21)</f>
        <v>46259</v>
      </c>
    </row>
    <row r="1298" spans="1:4" x14ac:dyDescent="0.25">
      <c r="A1298" s="42">
        <f t="shared" si="22"/>
        <v>1297</v>
      </c>
      <c r="B1298" s="42" cm="1">
        <f t="array" aca="1" ref="B1298" ca="1">INDEX(Historical!$A$1:$A$18, RANDBETWEEN(1, COUNTA(Historical!$A$1:$A$18)))</f>
        <v>1.3617021276595744</v>
      </c>
      <c r="C1298" s="42">
        <f ca="1">Inputs!$B$2/B1298</f>
        <v>164.5</v>
      </c>
      <c r="D1298" s="43">
        <f ca="1">WORKDAY(Inputs!$B$3, ROUND(C1298, 0),Sheet2!$A$2:$A$21)</f>
        <v>46259</v>
      </c>
    </row>
    <row r="1299" spans="1:4" x14ac:dyDescent="0.25">
      <c r="A1299" s="42">
        <f t="shared" si="22"/>
        <v>1298</v>
      </c>
      <c r="B1299" s="42" cm="1">
        <f t="array" aca="1" ref="B1299" ca="1">INDEX(Historical!$A$1:$A$18, RANDBETWEEN(1, COUNTA(Historical!$A$1:$A$18)))</f>
        <v>1.4137931034482758</v>
      </c>
      <c r="C1299" s="42">
        <f ca="1">Inputs!$B$2/B1299</f>
        <v>158.4390243902439</v>
      </c>
      <c r="D1299" s="43">
        <f ca="1">WORKDAY(Inputs!$B$3, ROUND(C1299, 0),Sheet2!$A$2:$A$21)</f>
        <v>46248</v>
      </c>
    </row>
    <row r="1300" spans="1:4" x14ac:dyDescent="0.25">
      <c r="A1300" s="42">
        <f t="shared" si="22"/>
        <v>1299</v>
      </c>
      <c r="B1300" s="42" cm="1">
        <f t="array" aca="1" ref="B1300" ca="1">INDEX(Historical!$A$1:$A$18, RANDBETWEEN(1, COUNTA(Historical!$A$1:$A$18)))</f>
        <v>1.4137931034482758</v>
      </c>
      <c r="C1300" s="42">
        <f ca="1">Inputs!$B$2/B1300</f>
        <v>158.4390243902439</v>
      </c>
      <c r="D1300" s="43">
        <f ca="1">WORKDAY(Inputs!$B$3, ROUND(C1300, 0),Sheet2!$A$2:$A$21)</f>
        <v>46248</v>
      </c>
    </row>
    <row r="1301" spans="1:4" x14ac:dyDescent="0.25">
      <c r="A1301" s="42">
        <f t="shared" si="22"/>
        <v>1300</v>
      </c>
      <c r="B1301" s="42" cm="1">
        <f t="array" aca="1" ref="B1301" ca="1">INDEX(Historical!$A$1:$A$18, RANDBETWEEN(1, COUNTA(Historical!$A$1:$A$18)))</f>
        <v>1.4137931034482758</v>
      </c>
      <c r="C1301" s="42">
        <f ca="1">Inputs!$B$2/B1301</f>
        <v>158.4390243902439</v>
      </c>
      <c r="D1301" s="43">
        <f ca="1">WORKDAY(Inputs!$B$3, ROUND(C1301, 0),Sheet2!$A$2:$A$21)</f>
        <v>46248</v>
      </c>
    </row>
    <row r="1302" spans="1:4" x14ac:dyDescent="0.25">
      <c r="A1302" s="42">
        <f t="shared" si="22"/>
        <v>1301</v>
      </c>
      <c r="B1302" s="42" cm="1">
        <f t="array" aca="1" ref="B1302" ca="1">INDEX(Historical!$A$1:$A$18, RANDBETWEEN(1, COUNTA(Historical!$A$1:$A$18)))</f>
        <v>1.4137931034482758</v>
      </c>
      <c r="C1302" s="42">
        <f ca="1">Inputs!$B$2/B1302</f>
        <v>158.4390243902439</v>
      </c>
      <c r="D1302" s="43">
        <f ca="1">WORKDAY(Inputs!$B$3, ROUND(C1302, 0),Sheet2!$A$2:$A$21)</f>
        <v>46248</v>
      </c>
    </row>
    <row r="1303" spans="1:4" x14ac:dyDescent="0.25">
      <c r="A1303" s="42">
        <f t="shared" si="22"/>
        <v>1302</v>
      </c>
      <c r="B1303" s="42" cm="1">
        <f t="array" aca="1" ref="B1303" ca="1">INDEX(Historical!$A$1:$A$18, RANDBETWEEN(1, COUNTA(Historical!$A$1:$A$18)))</f>
        <v>1.4038461538461537</v>
      </c>
      <c r="C1303" s="42">
        <f ca="1">Inputs!$B$2/B1303</f>
        <v>159.56164383561645</v>
      </c>
      <c r="D1303" s="43">
        <f ca="1">WORKDAY(Inputs!$B$3, ROUND(C1303, 0),Sheet2!$A$2:$A$21)</f>
        <v>46252</v>
      </c>
    </row>
    <row r="1304" spans="1:4" x14ac:dyDescent="0.25">
      <c r="A1304" s="42">
        <f t="shared" si="22"/>
        <v>1303</v>
      </c>
      <c r="B1304" s="42" cm="1">
        <f t="array" aca="1" ref="B1304" ca="1">INDEX(Historical!$A$1:$A$18, RANDBETWEEN(1, COUNTA(Historical!$A$1:$A$18)))</f>
        <v>1.4038461538461537</v>
      </c>
      <c r="C1304" s="42">
        <f ca="1">Inputs!$B$2/B1304</f>
        <v>159.56164383561645</v>
      </c>
      <c r="D1304" s="43">
        <f ca="1">WORKDAY(Inputs!$B$3, ROUND(C1304, 0),Sheet2!$A$2:$A$21)</f>
        <v>46252</v>
      </c>
    </row>
    <row r="1305" spans="1:4" x14ac:dyDescent="0.25">
      <c r="A1305" s="42">
        <f t="shared" si="22"/>
        <v>1304</v>
      </c>
      <c r="B1305" s="42" cm="1">
        <f t="array" aca="1" ref="B1305" ca="1">INDEX(Historical!$A$1:$A$18, RANDBETWEEN(1, COUNTA(Historical!$A$1:$A$18)))</f>
        <v>1.4347826086956521</v>
      </c>
      <c r="C1305" s="42">
        <f ca="1">Inputs!$B$2/B1305</f>
        <v>156.12121212121212</v>
      </c>
      <c r="D1305" s="43">
        <f ca="1">WORKDAY(Inputs!$B$3, ROUND(C1305, 0),Sheet2!$A$2:$A$21)</f>
        <v>46246</v>
      </c>
    </row>
    <row r="1306" spans="1:4" x14ac:dyDescent="0.25">
      <c r="A1306" s="42">
        <f t="shared" si="22"/>
        <v>1305</v>
      </c>
      <c r="B1306" s="42" cm="1">
        <f t="array" aca="1" ref="B1306" ca="1">INDEX(Historical!$A$1:$A$18, RANDBETWEEN(1, COUNTA(Historical!$A$1:$A$18)))</f>
        <v>1.2941176470588236</v>
      </c>
      <c r="C1306" s="42">
        <f ca="1">Inputs!$B$2/B1306</f>
        <v>173.09090909090909</v>
      </c>
      <c r="D1306" s="43">
        <f ca="1">WORKDAY(Inputs!$B$3, ROUND(C1306, 0),Sheet2!$A$2:$A$21)</f>
        <v>46269</v>
      </c>
    </row>
    <row r="1307" spans="1:4" x14ac:dyDescent="0.25">
      <c r="A1307" s="42">
        <f t="shared" si="22"/>
        <v>1306</v>
      </c>
      <c r="B1307" s="42" cm="1">
        <f t="array" aca="1" ref="B1307" ca="1">INDEX(Historical!$A$1:$A$18, RANDBETWEEN(1, COUNTA(Historical!$A$1:$A$18)))</f>
        <v>1.4761904761904763</v>
      </c>
      <c r="C1307" s="42">
        <f ca="1">Inputs!$B$2/B1307</f>
        <v>151.74193548387095</v>
      </c>
      <c r="D1307" s="43">
        <f ca="1">WORKDAY(Inputs!$B$3, ROUND(C1307, 0),Sheet2!$A$2:$A$21)</f>
        <v>46240</v>
      </c>
    </row>
    <row r="1308" spans="1:4" x14ac:dyDescent="0.25">
      <c r="A1308" s="42">
        <f t="shared" si="22"/>
        <v>1307</v>
      </c>
      <c r="B1308" s="42" cm="1">
        <f t="array" aca="1" ref="B1308" ca="1">INDEX(Historical!$A$1:$A$18, RANDBETWEEN(1, COUNTA(Historical!$A$1:$A$18)))</f>
        <v>1.3157894736842106</v>
      </c>
      <c r="C1308" s="42">
        <f ca="1">Inputs!$B$2/B1308</f>
        <v>170.23999999999998</v>
      </c>
      <c r="D1308" s="43">
        <f ca="1">WORKDAY(Inputs!$B$3, ROUND(C1308, 0),Sheet2!$A$2:$A$21)</f>
        <v>46266</v>
      </c>
    </row>
    <row r="1309" spans="1:4" x14ac:dyDescent="0.25">
      <c r="A1309" s="42">
        <f t="shared" si="22"/>
        <v>1308</v>
      </c>
      <c r="B1309" s="42" cm="1">
        <f t="array" aca="1" ref="B1309" ca="1">INDEX(Historical!$A$1:$A$18, RANDBETWEEN(1, COUNTA(Historical!$A$1:$A$18)))</f>
        <v>1.3157894736842106</v>
      </c>
      <c r="C1309" s="42">
        <f ca="1">Inputs!$B$2/B1309</f>
        <v>170.23999999999998</v>
      </c>
      <c r="D1309" s="43">
        <f ca="1">WORKDAY(Inputs!$B$3, ROUND(C1309, 0),Sheet2!$A$2:$A$21)</f>
        <v>46266</v>
      </c>
    </row>
    <row r="1310" spans="1:4" x14ac:dyDescent="0.25">
      <c r="A1310" s="42">
        <f t="shared" si="22"/>
        <v>1309</v>
      </c>
      <c r="B1310" s="42" cm="1">
        <f t="array" aca="1" ref="B1310" ca="1">INDEX(Historical!$A$1:$A$18, RANDBETWEEN(1, COUNTA(Historical!$A$1:$A$18)))</f>
        <v>1.4761904761904763</v>
      </c>
      <c r="C1310" s="42">
        <f ca="1">Inputs!$B$2/B1310</f>
        <v>151.74193548387095</v>
      </c>
      <c r="D1310" s="43">
        <f ca="1">WORKDAY(Inputs!$B$3, ROUND(C1310, 0),Sheet2!$A$2:$A$21)</f>
        <v>46240</v>
      </c>
    </row>
    <row r="1311" spans="1:4" x14ac:dyDescent="0.25">
      <c r="A1311" s="42">
        <f t="shared" si="22"/>
        <v>1310</v>
      </c>
      <c r="B1311" s="42" cm="1">
        <f t="array" aca="1" ref="B1311" ca="1">INDEX(Historical!$A$1:$A$18, RANDBETWEEN(1, COUNTA(Historical!$A$1:$A$18)))</f>
        <v>1.3692307692307693</v>
      </c>
      <c r="C1311" s="42">
        <f ca="1">Inputs!$B$2/B1311</f>
        <v>163.59550561797752</v>
      </c>
      <c r="D1311" s="43">
        <f ca="1">WORKDAY(Inputs!$B$3, ROUND(C1311, 0),Sheet2!$A$2:$A$21)</f>
        <v>46258</v>
      </c>
    </row>
    <row r="1312" spans="1:4" x14ac:dyDescent="0.25">
      <c r="A1312" s="42">
        <f t="shared" si="22"/>
        <v>1311</v>
      </c>
      <c r="B1312" s="42" cm="1">
        <f t="array" aca="1" ref="B1312" ca="1">INDEX(Historical!$A$1:$A$18, RANDBETWEEN(1, COUNTA(Historical!$A$1:$A$18)))</f>
        <v>1.3692307692307693</v>
      </c>
      <c r="C1312" s="42">
        <f ca="1">Inputs!$B$2/B1312</f>
        <v>163.59550561797752</v>
      </c>
      <c r="D1312" s="43">
        <f ca="1">WORKDAY(Inputs!$B$3, ROUND(C1312, 0),Sheet2!$A$2:$A$21)</f>
        <v>46258</v>
      </c>
    </row>
    <row r="1313" spans="1:4" x14ac:dyDescent="0.25">
      <c r="A1313" s="42">
        <f t="shared" si="22"/>
        <v>1312</v>
      </c>
      <c r="B1313" s="42" cm="1">
        <f t="array" aca="1" ref="B1313" ca="1">INDEX(Historical!$A$1:$A$18, RANDBETWEEN(1, COUNTA(Historical!$A$1:$A$18)))</f>
        <v>1.4137931034482758</v>
      </c>
      <c r="C1313" s="42">
        <f ca="1">Inputs!$B$2/B1313</f>
        <v>158.4390243902439</v>
      </c>
      <c r="D1313" s="43">
        <f ca="1">WORKDAY(Inputs!$B$3, ROUND(C1313, 0),Sheet2!$A$2:$A$21)</f>
        <v>46248</v>
      </c>
    </row>
    <row r="1314" spans="1:4" x14ac:dyDescent="0.25">
      <c r="A1314" s="42">
        <f t="shared" si="22"/>
        <v>1313</v>
      </c>
      <c r="B1314" s="42" cm="1">
        <f t="array" aca="1" ref="B1314" ca="1">INDEX(Historical!$A$1:$A$18, RANDBETWEEN(1, COUNTA(Historical!$A$1:$A$18)))</f>
        <v>1.3559322033898304</v>
      </c>
      <c r="C1314" s="42">
        <f ca="1">Inputs!$B$2/B1314</f>
        <v>165.20000000000002</v>
      </c>
      <c r="D1314" s="43">
        <f ca="1">WORKDAY(Inputs!$B$3, ROUND(C1314, 0),Sheet2!$A$2:$A$21)</f>
        <v>46259</v>
      </c>
    </row>
    <row r="1315" spans="1:4" x14ac:dyDescent="0.25">
      <c r="A1315" s="42">
        <f t="shared" si="22"/>
        <v>1314</v>
      </c>
      <c r="B1315" s="42" cm="1">
        <f t="array" aca="1" ref="B1315" ca="1">INDEX(Historical!$A$1:$A$18, RANDBETWEEN(1, COUNTA(Historical!$A$1:$A$18)))</f>
        <v>1.5</v>
      </c>
      <c r="C1315" s="42">
        <f ca="1">Inputs!$B$2/B1315</f>
        <v>149.33333333333334</v>
      </c>
      <c r="D1315" s="43">
        <f ca="1">WORKDAY(Inputs!$B$3, ROUND(C1315, 0),Sheet2!$A$2:$A$21)</f>
        <v>46237</v>
      </c>
    </row>
    <row r="1316" spans="1:4" x14ac:dyDescent="0.25">
      <c r="A1316" s="42">
        <f t="shared" si="22"/>
        <v>1315</v>
      </c>
      <c r="B1316" s="42" cm="1">
        <f t="array" aca="1" ref="B1316" ca="1">INDEX(Historical!$A$1:$A$18, RANDBETWEEN(1, COUNTA(Historical!$A$1:$A$18)))</f>
        <v>1.3157894736842106</v>
      </c>
      <c r="C1316" s="42">
        <f ca="1">Inputs!$B$2/B1316</f>
        <v>170.23999999999998</v>
      </c>
      <c r="D1316" s="43">
        <f ca="1">WORKDAY(Inputs!$B$3, ROUND(C1316, 0),Sheet2!$A$2:$A$21)</f>
        <v>46266</v>
      </c>
    </row>
    <row r="1317" spans="1:4" x14ac:dyDescent="0.25">
      <c r="A1317" s="42">
        <f t="shared" si="22"/>
        <v>1316</v>
      </c>
      <c r="B1317" s="42" cm="1">
        <f t="array" aca="1" ref="B1317" ca="1">INDEX(Historical!$A$1:$A$18, RANDBETWEEN(1, COUNTA(Historical!$A$1:$A$18)))</f>
        <v>1.3617021276595744</v>
      </c>
      <c r="C1317" s="42">
        <f ca="1">Inputs!$B$2/B1317</f>
        <v>164.5</v>
      </c>
      <c r="D1317" s="43">
        <f ca="1">WORKDAY(Inputs!$B$3, ROUND(C1317, 0),Sheet2!$A$2:$A$21)</f>
        <v>46259</v>
      </c>
    </row>
    <row r="1318" spans="1:4" x14ac:dyDescent="0.25">
      <c r="A1318" s="42">
        <f t="shared" si="22"/>
        <v>1317</v>
      </c>
      <c r="B1318" s="42" cm="1">
        <f t="array" aca="1" ref="B1318" ca="1">INDEX(Historical!$A$1:$A$18, RANDBETWEEN(1, COUNTA(Historical!$A$1:$A$18)))</f>
        <v>1.2941176470588236</v>
      </c>
      <c r="C1318" s="42">
        <f ca="1">Inputs!$B$2/B1318</f>
        <v>173.09090909090909</v>
      </c>
      <c r="D1318" s="43">
        <f ca="1">WORKDAY(Inputs!$B$3, ROUND(C1318, 0),Sheet2!$A$2:$A$21)</f>
        <v>46269</v>
      </c>
    </row>
    <row r="1319" spans="1:4" x14ac:dyDescent="0.25">
      <c r="A1319" s="42">
        <f t="shared" si="22"/>
        <v>1318</v>
      </c>
      <c r="B1319" s="42" cm="1">
        <f t="array" aca="1" ref="B1319" ca="1">INDEX(Historical!$A$1:$A$18, RANDBETWEEN(1, COUNTA(Historical!$A$1:$A$18)))</f>
        <v>1.3559322033898304</v>
      </c>
      <c r="C1319" s="42">
        <f ca="1">Inputs!$B$2/B1319</f>
        <v>165.20000000000002</v>
      </c>
      <c r="D1319" s="43">
        <f ca="1">WORKDAY(Inputs!$B$3, ROUND(C1319, 0),Sheet2!$A$2:$A$21)</f>
        <v>46259</v>
      </c>
    </row>
    <row r="1320" spans="1:4" x14ac:dyDescent="0.25">
      <c r="A1320" s="42">
        <f t="shared" si="22"/>
        <v>1319</v>
      </c>
      <c r="B1320" s="42" cm="1">
        <f t="array" aca="1" ref="B1320" ca="1">INDEX(Historical!$A$1:$A$18, RANDBETWEEN(1, COUNTA(Historical!$A$1:$A$18)))</f>
        <v>1.3692307692307693</v>
      </c>
      <c r="C1320" s="42">
        <f ca="1">Inputs!$B$2/B1320</f>
        <v>163.59550561797752</v>
      </c>
      <c r="D1320" s="43">
        <f ca="1">WORKDAY(Inputs!$B$3, ROUND(C1320, 0),Sheet2!$A$2:$A$21)</f>
        <v>46258</v>
      </c>
    </row>
    <row r="1321" spans="1:4" x14ac:dyDescent="0.25">
      <c r="A1321" s="42">
        <f t="shared" si="22"/>
        <v>1320</v>
      </c>
      <c r="B1321" s="42" cm="1">
        <f t="array" aca="1" ref="B1321" ca="1">INDEX(Historical!$A$1:$A$18, RANDBETWEEN(1, COUNTA(Historical!$A$1:$A$18)))</f>
        <v>1.3707865168539326</v>
      </c>
      <c r="C1321" s="42">
        <f ca="1">Inputs!$B$2/B1321</f>
        <v>163.40983606557376</v>
      </c>
      <c r="D1321" s="43">
        <f ca="1">WORKDAY(Inputs!$B$3, ROUND(C1321, 0),Sheet2!$A$2:$A$21)</f>
        <v>46255</v>
      </c>
    </row>
    <row r="1322" spans="1:4" x14ac:dyDescent="0.25">
      <c r="A1322" s="42">
        <f t="shared" si="22"/>
        <v>1321</v>
      </c>
      <c r="B1322" s="42" cm="1">
        <f t="array" aca="1" ref="B1322" ca="1">INDEX(Historical!$A$1:$A$18, RANDBETWEEN(1, COUNTA(Historical!$A$1:$A$18)))</f>
        <v>1.3692307692307693</v>
      </c>
      <c r="C1322" s="42">
        <f ca="1">Inputs!$B$2/B1322</f>
        <v>163.59550561797752</v>
      </c>
      <c r="D1322" s="43">
        <f ca="1">WORKDAY(Inputs!$B$3, ROUND(C1322, 0),Sheet2!$A$2:$A$21)</f>
        <v>46258</v>
      </c>
    </row>
    <row r="1323" spans="1:4" x14ac:dyDescent="0.25">
      <c r="A1323" s="42">
        <f t="shared" si="22"/>
        <v>1322</v>
      </c>
      <c r="B1323" s="42" cm="1">
        <f t="array" aca="1" ref="B1323" ca="1">INDEX(Historical!$A$1:$A$18, RANDBETWEEN(1, COUNTA(Historical!$A$1:$A$18)))</f>
        <v>1.303030303030303</v>
      </c>
      <c r="C1323" s="42">
        <f ca="1">Inputs!$B$2/B1323</f>
        <v>171.90697674418604</v>
      </c>
      <c r="D1323" s="43">
        <f ca="1">WORKDAY(Inputs!$B$3, ROUND(C1323, 0),Sheet2!$A$2:$A$21)</f>
        <v>46268</v>
      </c>
    </row>
    <row r="1324" spans="1:4" x14ac:dyDescent="0.25">
      <c r="A1324" s="42">
        <f t="shared" si="22"/>
        <v>1323</v>
      </c>
      <c r="B1324" s="42" cm="1">
        <f t="array" aca="1" ref="B1324" ca="1">INDEX(Historical!$A$1:$A$18, RANDBETWEEN(1, COUNTA(Historical!$A$1:$A$18)))</f>
        <v>1.368421052631579</v>
      </c>
      <c r="C1324" s="42">
        <f ca="1">Inputs!$B$2/B1324</f>
        <v>163.69230769230768</v>
      </c>
      <c r="D1324" s="43">
        <f ca="1">WORKDAY(Inputs!$B$3, ROUND(C1324, 0),Sheet2!$A$2:$A$21)</f>
        <v>46258</v>
      </c>
    </row>
    <row r="1325" spans="1:4" x14ac:dyDescent="0.25">
      <c r="A1325" s="42">
        <f t="shared" si="22"/>
        <v>1324</v>
      </c>
      <c r="B1325" s="42" cm="1">
        <f t="array" aca="1" ref="B1325" ca="1">INDEX(Historical!$A$1:$A$18, RANDBETWEEN(1, COUNTA(Historical!$A$1:$A$18)))</f>
        <v>1.2941176470588236</v>
      </c>
      <c r="C1325" s="42">
        <f ca="1">Inputs!$B$2/B1325</f>
        <v>173.09090909090909</v>
      </c>
      <c r="D1325" s="43">
        <f ca="1">WORKDAY(Inputs!$B$3, ROUND(C1325, 0),Sheet2!$A$2:$A$21)</f>
        <v>46269</v>
      </c>
    </row>
    <row r="1326" spans="1:4" x14ac:dyDescent="0.25">
      <c r="A1326" s="42">
        <f t="shared" si="22"/>
        <v>1325</v>
      </c>
      <c r="B1326" s="42" cm="1">
        <f t="array" aca="1" ref="B1326" ca="1">INDEX(Historical!$A$1:$A$18, RANDBETWEEN(1, COUNTA(Historical!$A$1:$A$18)))</f>
        <v>1.368421052631579</v>
      </c>
      <c r="C1326" s="42">
        <f ca="1">Inputs!$B$2/B1326</f>
        <v>163.69230769230768</v>
      </c>
      <c r="D1326" s="43">
        <f ca="1">WORKDAY(Inputs!$B$3, ROUND(C1326, 0),Sheet2!$A$2:$A$21)</f>
        <v>46258</v>
      </c>
    </row>
    <row r="1327" spans="1:4" x14ac:dyDescent="0.25">
      <c r="A1327" s="42">
        <f t="shared" si="22"/>
        <v>1326</v>
      </c>
      <c r="B1327" s="42" cm="1">
        <f t="array" aca="1" ref="B1327" ca="1">INDEX(Historical!$A$1:$A$18, RANDBETWEEN(1, COUNTA(Historical!$A$1:$A$18)))</f>
        <v>1.3617021276595744</v>
      </c>
      <c r="C1327" s="42">
        <f ca="1">Inputs!$B$2/B1327</f>
        <v>164.5</v>
      </c>
      <c r="D1327" s="43">
        <f ca="1">WORKDAY(Inputs!$B$3, ROUND(C1327, 0),Sheet2!$A$2:$A$21)</f>
        <v>46259</v>
      </c>
    </row>
    <row r="1328" spans="1:4" x14ac:dyDescent="0.25">
      <c r="A1328" s="42">
        <f t="shared" si="22"/>
        <v>1327</v>
      </c>
      <c r="B1328" s="42" cm="1">
        <f t="array" aca="1" ref="B1328" ca="1">INDEX(Historical!$A$1:$A$18, RANDBETWEEN(1, COUNTA(Historical!$A$1:$A$18)))</f>
        <v>1.3707865168539326</v>
      </c>
      <c r="C1328" s="42">
        <f ca="1">Inputs!$B$2/B1328</f>
        <v>163.40983606557376</v>
      </c>
      <c r="D1328" s="43">
        <f ca="1">WORKDAY(Inputs!$B$3, ROUND(C1328, 0),Sheet2!$A$2:$A$21)</f>
        <v>46255</v>
      </c>
    </row>
    <row r="1329" spans="1:4" x14ac:dyDescent="0.25">
      <c r="A1329" s="42">
        <f t="shared" si="22"/>
        <v>1328</v>
      </c>
      <c r="B1329" s="42" cm="1">
        <f t="array" aca="1" ref="B1329" ca="1">INDEX(Historical!$A$1:$A$18, RANDBETWEEN(1, COUNTA(Historical!$A$1:$A$18)))</f>
        <v>1.3617021276595744</v>
      </c>
      <c r="C1329" s="42">
        <f ca="1">Inputs!$B$2/B1329</f>
        <v>164.5</v>
      </c>
      <c r="D1329" s="43">
        <f ca="1">WORKDAY(Inputs!$B$3, ROUND(C1329, 0),Sheet2!$A$2:$A$21)</f>
        <v>46259</v>
      </c>
    </row>
    <row r="1330" spans="1:4" x14ac:dyDescent="0.25">
      <c r="A1330" s="42">
        <f t="shared" si="22"/>
        <v>1329</v>
      </c>
      <c r="B1330" s="42" cm="1">
        <f t="array" aca="1" ref="B1330" ca="1">INDEX(Historical!$A$1:$A$18, RANDBETWEEN(1, COUNTA(Historical!$A$1:$A$18)))</f>
        <v>1.375</v>
      </c>
      <c r="C1330" s="42">
        <f ca="1">Inputs!$B$2/B1330</f>
        <v>162.90909090909091</v>
      </c>
      <c r="D1330" s="43">
        <f ca="1">WORKDAY(Inputs!$B$3, ROUND(C1330, 0),Sheet2!$A$2:$A$21)</f>
        <v>46255</v>
      </c>
    </row>
    <row r="1331" spans="1:4" x14ac:dyDescent="0.25">
      <c r="A1331" s="42">
        <f t="shared" si="22"/>
        <v>1330</v>
      </c>
      <c r="B1331" s="42" cm="1">
        <f t="array" aca="1" ref="B1331" ca="1">INDEX(Historical!$A$1:$A$18, RANDBETWEEN(1, COUNTA(Historical!$A$1:$A$18)))</f>
        <v>1.3692307692307693</v>
      </c>
      <c r="C1331" s="42">
        <f ca="1">Inputs!$B$2/B1331</f>
        <v>163.59550561797752</v>
      </c>
      <c r="D1331" s="43">
        <f ca="1">WORKDAY(Inputs!$B$3, ROUND(C1331, 0),Sheet2!$A$2:$A$21)</f>
        <v>46258</v>
      </c>
    </row>
    <row r="1332" spans="1:4" x14ac:dyDescent="0.25">
      <c r="A1332" s="42">
        <f t="shared" si="22"/>
        <v>1331</v>
      </c>
      <c r="B1332" s="42" cm="1">
        <f t="array" aca="1" ref="B1332" ca="1">INDEX(Historical!$A$1:$A$18, RANDBETWEEN(1, COUNTA(Historical!$A$1:$A$18)))</f>
        <v>1.3707865168539326</v>
      </c>
      <c r="C1332" s="42">
        <f ca="1">Inputs!$B$2/B1332</f>
        <v>163.40983606557376</v>
      </c>
      <c r="D1332" s="43">
        <f ca="1">WORKDAY(Inputs!$B$3, ROUND(C1332, 0),Sheet2!$A$2:$A$21)</f>
        <v>46255</v>
      </c>
    </row>
    <row r="1333" spans="1:4" x14ac:dyDescent="0.25">
      <c r="A1333" s="42">
        <f t="shared" si="22"/>
        <v>1332</v>
      </c>
      <c r="B1333" s="42" cm="1">
        <f t="array" aca="1" ref="B1333" ca="1">INDEX(Historical!$A$1:$A$18, RANDBETWEEN(1, COUNTA(Historical!$A$1:$A$18)))</f>
        <v>1.1666666666666667</v>
      </c>
      <c r="C1333" s="42">
        <f ca="1">Inputs!$B$2/B1333</f>
        <v>192</v>
      </c>
      <c r="D1333" s="43">
        <f ca="1">WORKDAY(Inputs!$B$3, ROUND(C1333, 0),Sheet2!$A$2:$A$21)</f>
        <v>46297</v>
      </c>
    </row>
    <row r="1334" spans="1:4" x14ac:dyDescent="0.25">
      <c r="A1334" s="42">
        <f t="shared" si="22"/>
        <v>1333</v>
      </c>
      <c r="B1334" s="42" cm="1">
        <f t="array" aca="1" ref="B1334" ca="1">INDEX(Historical!$A$1:$A$18, RANDBETWEEN(1, COUNTA(Historical!$A$1:$A$18)))</f>
        <v>1.1666666666666667</v>
      </c>
      <c r="C1334" s="42">
        <f ca="1">Inputs!$B$2/B1334</f>
        <v>192</v>
      </c>
      <c r="D1334" s="43">
        <f ca="1">WORKDAY(Inputs!$B$3, ROUND(C1334, 0),Sheet2!$A$2:$A$21)</f>
        <v>46297</v>
      </c>
    </row>
    <row r="1335" spans="1:4" x14ac:dyDescent="0.25">
      <c r="A1335" s="42">
        <f t="shared" si="22"/>
        <v>1334</v>
      </c>
      <c r="B1335" s="42" cm="1">
        <f t="array" aca="1" ref="B1335" ca="1">INDEX(Historical!$A$1:$A$18, RANDBETWEEN(1, COUNTA(Historical!$A$1:$A$18)))</f>
        <v>1.5</v>
      </c>
      <c r="C1335" s="42">
        <f ca="1">Inputs!$B$2/B1335</f>
        <v>149.33333333333334</v>
      </c>
      <c r="D1335" s="43">
        <f ca="1">WORKDAY(Inputs!$B$3, ROUND(C1335, 0),Sheet2!$A$2:$A$21)</f>
        <v>46237</v>
      </c>
    </row>
    <row r="1336" spans="1:4" x14ac:dyDescent="0.25">
      <c r="A1336" s="42">
        <f t="shared" si="22"/>
        <v>1335</v>
      </c>
      <c r="B1336" s="42" cm="1">
        <f t="array" aca="1" ref="B1336" ca="1">INDEX(Historical!$A$1:$A$18, RANDBETWEEN(1, COUNTA(Historical!$A$1:$A$18)))</f>
        <v>1.3707865168539326</v>
      </c>
      <c r="C1336" s="42">
        <f ca="1">Inputs!$B$2/B1336</f>
        <v>163.40983606557376</v>
      </c>
      <c r="D1336" s="43">
        <f ca="1">WORKDAY(Inputs!$B$3, ROUND(C1336, 0),Sheet2!$A$2:$A$21)</f>
        <v>46255</v>
      </c>
    </row>
    <row r="1337" spans="1:4" x14ac:dyDescent="0.25">
      <c r="A1337" s="42">
        <f t="shared" si="22"/>
        <v>1336</v>
      </c>
      <c r="B1337" s="42" cm="1">
        <f t="array" aca="1" ref="B1337" ca="1">INDEX(Historical!$A$1:$A$18, RANDBETWEEN(1, COUNTA(Historical!$A$1:$A$18)))</f>
        <v>1.3559322033898304</v>
      </c>
      <c r="C1337" s="42">
        <f ca="1">Inputs!$B$2/B1337</f>
        <v>165.20000000000002</v>
      </c>
      <c r="D1337" s="43">
        <f ca="1">WORKDAY(Inputs!$B$3, ROUND(C1337, 0),Sheet2!$A$2:$A$21)</f>
        <v>46259</v>
      </c>
    </row>
    <row r="1338" spans="1:4" x14ac:dyDescent="0.25">
      <c r="A1338" s="42">
        <f t="shared" si="22"/>
        <v>1337</v>
      </c>
      <c r="B1338" s="42" cm="1">
        <f t="array" aca="1" ref="B1338" ca="1">INDEX(Historical!$A$1:$A$18, RANDBETWEEN(1, COUNTA(Historical!$A$1:$A$18)))</f>
        <v>1.3559322033898304</v>
      </c>
      <c r="C1338" s="42">
        <f ca="1">Inputs!$B$2/B1338</f>
        <v>165.20000000000002</v>
      </c>
      <c r="D1338" s="43">
        <f ca="1">WORKDAY(Inputs!$B$3, ROUND(C1338, 0),Sheet2!$A$2:$A$21)</f>
        <v>46259</v>
      </c>
    </row>
    <row r="1339" spans="1:4" x14ac:dyDescent="0.25">
      <c r="A1339" s="42">
        <f t="shared" si="22"/>
        <v>1338</v>
      </c>
      <c r="B1339" s="42" cm="1">
        <f t="array" aca="1" ref="B1339" ca="1">INDEX(Historical!$A$1:$A$18, RANDBETWEEN(1, COUNTA(Historical!$A$1:$A$18)))</f>
        <v>1.3559322033898304</v>
      </c>
      <c r="C1339" s="42">
        <f ca="1">Inputs!$B$2/B1339</f>
        <v>165.20000000000002</v>
      </c>
      <c r="D1339" s="43">
        <f ca="1">WORKDAY(Inputs!$B$3, ROUND(C1339, 0),Sheet2!$A$2:$A$21)</f>
        <v>46259</v>
      </c>
    </row>
    <row r="1340" spans="1:4" x14ac:dyDescent="0.25">
      <c r="A1340" s="42">
        <f t="shared" si="22"/>
        <v>1339</v>
      </c>
      <c r="B1340" s="42" cm="1">
        <f t="array" aca="1" ref="B1340" ca="1">INDEX(Historical!$A$1:$A$18, RANDBETWEEN(1, COUNTA(Historical!$A$1:$A$18)))</f>
        <v>1.303030303030303</v>
      </c>
      <c r="C1340" s="42">
        <f ca="1">Inputs!$B$2/B1340</f>
        <v>171.90697674418604</v>
      </c>
      <c r="D1340" s="43">
        <f ca="1">WORKDAY(Inputs!$B$3, ROUND(C1340, 0),Sheet2!$A$2:$A$21)</f>
        <v>46268</v>
      </c>
    </row>
    <row r="1341" spans="1:4" x14ac:dyDescent="0.25">
      <c r="A1341" s="42">
        <f t="shared" si="22"/>
        <v>1340</v>
      </c>
      <c r="B1341" s="42" cm="1">
        <f t="array" aca="1" ref="B1341" ca="1">INDEX(Historical!$A$1:$A$18, RANDBETWEEN(1, COUNTA(Historical!$A$1:$A$18)))</f>
        <v>1.3617021276595744</v>
      </c>
      <c r="C1341" s="42">
        <f ca="1">Inputs!$B$2/B1341</f>
        <v>164.5</v>
      </c>
      <c r="D1341" s="43">
        <f ca="1">WORKDAY(Inputs!$B$3, ROUND(C1341, 0),Sheet2!$A$2:$A$21)</f>
        <v>46259</v>
      </c>
    </row>
    <row r="1342" spans="1:4" x14ac:dyDescent="0.25">
      <c r="A1342" s="42">
        <f t="shared" si="22"/>
        <v>1341</v>
      </c>
      <c r="B1342" s="42" cm="1">
        <f t="array" aca="1" ref="B1342" ca="1">INDEX(Historical!$A$1:$A$18, RANDBETWEEN(1, COUNTA(Historical!$A$1:$A$18)))</f>
        <v>1.4038461538461537</v>
      </c>
      <c r="C1342" s="42">
        <f ca="1">Inputs!$B$2/B1342</f>
        <v>159.56164383561645</v>
      </c>
      <c r="D1342" s="43">
        <f ca="1">WORKDAY(Inputs!$B$3, ROUND(C1342, 0),Sheet2!$A$2:$A$21)</f>
        <v>46252</v>
      </c>
    </row>
    <row r="1343" spans="1:4" x14ac:dyDescent="0.25">
      <c r="A1343" s="42">
        <f t="shared" si="22"/>
        <v>1342</v>
      </c>
      <c r="B1343" s="42" cm="1">
        <f t="array" aca="1" ref="B1343" ca="1">INDEX(Historical!$A$1:$A$18, RANDBETWEEN(1, COUNTA(Historical!$A$1:$A$18)))</f>
        <v>1.3707865168539326</v>
      </c>
      <c r="C1343" s="42">
        <f ca="1">Inputs!$B$2/B1343</f>
        <v>163.40983606557376</v>
      </c>
      <c r="D1343" s="43">
        <f ca="1">WORKDAY(Inputs!$B$3, ROUND(C1343, 0),Sheet2!$A$2:$A$21)</f>
        <v>46255</v>
      </c>
    </row>
    <row r="1344" spans="1:4" x14ac:dyDescent="0.25">
      <c r="A1344" s="42">
        <f t="shared" si="22"/>
        <v>1343</v>
      </c>
      <c r="B1344" s="42" cm="1">
        <f t="array" aca="1" ref="B1344" ca="1">INDEX(Historical!$A$1:$A$18, RANDBETWEEN(1, COUNTA(Historical!$A$1:$A$18)))</f>
        <v>1.290909090909091</v>
      </c>
      <c r="C1344" s="42">
        <f ca="1">Inputs!$B$2/B1344</f>
        <v>173.52112676056336</v>
      </c>
      <c r="D1344" s="43">
        <f ca="1">WORKDAY(Inputs!$B$3, ROUND(C1344, 0),Sheet2!$A$2:$A$21)</f>
        <v>46273</v>
      </c>
    </row>
    <row r="1345" spans="1:4" x14ac:dyDescent="0.25">
      <c r="A1345" s="42">
        <f t="shared" si="22"/>
        <v>1344</v>
      </c>
      <c r="B1345" s="42" cm="1">
        <f t="array" aca="1" ref="B1345" ca="1">INDEX(Historical!$A$1:$A$18, RANDBETWEEN(1, COUNTA(Historical!$A$1:$A$18)))</f>
        <v>1.5</v>
      </c>
      <c r="C1345" s="42">
        <f ca="1">Inputs!$B$2/B1345</f>
        <v>149.33333333333334</v>
      </c>
      <c r="D1345" s="43">
        <f ca="1">WORKDAY(Inputs!$B$3, ROUND(C1345, 0),Sheet2!$A$2:$A$21)</f>
        <v>46237</v>
      </c>
    </row>
    <row r="1346" spans="1:4" x14ac:dyDescent="0.25">
      <c r="A1346" s="42">
        <f t="shared" si="22"/>
        <v>1345</v>
      </c>
      <c r="B1346" s="42" cm="1">
        <f t="array" aca="1" ref="B1346" ca="1">INDEX(Historical!$A$1:$A$18, RANDBETWEEN(1, COUNTA(Historical!$A$1:$A$18)))</f>
        <v>1.368421052631579</v>
      </c>
      <c r="C1346" s="42">
        <f ca="1">Inputs!$B$2/B1346</f>
        <v>163.69230769230768</v>
      </c>
      <c r="D1346" s="43">
        <f ca="1">WORKDAY(Inputs!$B$3, ROUND(C1346, 0),Sheet2!$A$2:$A$21)</f>
        <v>46258</v>
      </c>
    </row>
    <row r="1347" spans="1:4" x14ac:dyDescent="0.25">
      <c r="A1347" s="42">
        <f t="shared" ref="A1347:A1410" si="23">ROW()-1</f>
        <v>1346</v>
      </c>
      <c r="B1347" s="42" cm="1">
        <f t="array" aca="1" ref="B1347" ca="1">INDEX(Historical!$A$1:$A$18, RANDBETWEEN(1, COUNTA(Historical!$A$1:$A$18)))</f>
        <v>1.3617021276595744</v>
      </c>
      <c r="C1347" s="42">
        <f ca="1">Inputs!$B$2/B1347</f>
        <v>164.5</v>
      </c>
      <c r="D1347" s="43">
        <f ca="1">WORKDAY(Inputs!$B$3, ROUND(C1347, 0),Sheet2!$A$2:$A$21)</f>
        <v>46259</v>
      </c>
    </row>
    <row r="1348" spans="1:4" x14ac:dyDescent="0.25">
      <c r="A1348" s="42">
        <f t="shared" si="23"/>
        <v>1347</v>
      </c>
      <c r="B1348" s="42" cm="1">
        <f t="array" aca="1" ref="B1348" ca="1">INDEX(Historical!$A$1:$A$18, RANDBETWEEN(1, COUNTA(Historical!$A$1:$A$18)))</f>
        <v>1.3617021276595744</v>
      </c>
      <c r="C1348" s="42">
        <f ca="1">Inputs!$B$2/B1348</f>
        <v>164.5</v>
      </c>
      <c r="D1348" s="43">
        <f ca="1">WORKDAY(Inputs!$B$3, ROUND(C1348, 0),Sheet2!$A$2:$A$21)</f>
        <v>46259</v>
      </c>
    </row>
    <row r="1349" spans="1:4" x14ac:dyDescent="0.25">
      <c r="A1349" s="42">
        <f t="shared" si="23"/>
        <v>1348</v>
      </c>
      <c r="B1349" s="42" cm="1">
        <f t="array" aca="1" ref="B1349" ca="1">INDEX(Historical!$A$1:$A$18, RANDBETWEEN(1, COUNTA(Historical!$A$1:$A$18)))</f>
        <v>1.3692307692307693</v>
      </c>
      <c r="C1349" s="42">
        <f ca="1">Inputs!$B$2/B1349</f>
        <v>163.59550561797752</v>
      </c>
      <c r="D1349" s="43">
        <f ca="1">WORKDAY(Inputs!$B$3, ROUND(C1349, 0),Sheet2!$A$2:$A$21)</f>
        <v>46258</v>
      </c>
    </row>
    <row r="1350" spans="1:4" x14ac:dyDescent="0.25">
      <c r="A1350" s="42">
        <f t="shared" si="23"/>
        <v>1349</v>
      </c>
      <c r="B1350" s="42" cm="1">
        <f t="array" aca="1" ref="B1350" ca="1">INDEX(Historical!$A$1:$A$18, RANDBETWEEN(1, COUNTA(Historical!$A$1:$A$18)))</f>
        <v>1.375</v>
      </c>
      <c r="C1350" s="42">
        <f ca="1">Inputs!$B$2/B1350</f>
        <v>162.90909090909091</v>
      </c>
      <c r="D1350" s="43">
        <f ca="1">WORKDAY(Inputs!$B$3, ROUND(C1350, 0),Sheet2!$A$2:$A$21)</f>
        <v>46255</v>
      </c>
    </row>
    <row r="1351" spans="1:4" x14ac:dyDescent="0.25">
      <c r="A1351" s="42">
        <f t="shared" si="23"/>
        <v>1350</v>
      </c>
      <c r="B1351" s="42" cm="1">
        <f t="array" aca="1" ref="B1351" ca="1">INDEX(Historical!$A$1:$A$18, RANDBETWEEN(1, COUNTA(Historical!$A$1:$A$18)))</f>
        <v>1.375</v>
      </c>
      <c r="C1351" s="42">
        <f ca="1">Inputs!$B$2/B1351</f>
        <v>162.90909090909091</v>
      </c>
      <c r="D1351" s="43">
        <f ca="1">WORKDAY(Inputs!$B$3, ROUND(C1351, 0),Sheet2!$A$2:$A$21)</f>
        <v>46255</v>
      </c>
    </row>
    <row r="1352" spans="1:4" x14ac:dyDescent="0.25">
      <c r="A1352" s="42">
        <f t="shared" si="23"/>
        <v>1351</v>
      </c>
      <c r="B1352" s="42" cm="1">
        <f t="array" aca="1" ref="B1352" ca="1">INDEX(Historical!$A$1:$A$18, RANDBETWEEN(1, COUNTA(Historical!$A$1:$A$18)))</f>
        <v>1.3559322033898304</v>
      </c>
      <c r="C1352" s="42">
        <f ca="1">Inputs!$B$2/B1352</f>
        <v>165.20000000000002</v>
      </c>
      <c r="D1352" s="43">
        <f ca="1">WORKDAY(Inputs!$B$3, ROUND(C1352, 0),Sheet2!$A$2:$A$21)</f>
        <v>46259</v>
      </c>
    </row>
    <row r="1353" spans="1:4" x14ac:dyDescent="0.25">
      <c r="A1353" s="42">
        <f t="shared" si="23"/>
        <v>1352</v>
      </c>
      <c r="B1353" s="42" cm="1">
        <f t="array" aca="1" ref="B1353" ca="1">INDEX(Historical!$A$1:$A$18, RANDBETWEEN(1, COUNTA(Historical!$A$1:$A$18)))</f>
        <v>1.290909090909091</v>
      </c>
      <c r="C1353" s="42">
        <f ca="1">Inputs!$B$2/B1353</f>
        <v>173.52112676056336</v>
      </c>
      <c r="D1353" s="43">
        <f ca="1">WORKDAY(Inputs!$B$3, ROUND(C1353, 0),Sheet2!$A$2:$A$21)</f>
        <v>46273</v>
      </c>
    </row>
    <row r="1354" spans="1:4" x14ac:dyDescent="0.25">
      <c r="A1354" s="42">
        <f t="shared" si="23"/>
        <v>1353</v>
      </c>
      <c r="B1354" s="42" cm="1">
        <f t="array" aca="1" ref="B1354" ca="1">INDEX(Historical!$A$1:$A$18, RANDBETWEEN(1, COUNTA(Historical!$A$1:$A$18)))</f>
        <v>1.4761904761904763</v>
      </c>
      <c r="C1354" s="42">
        <f ca="1">Inputs!$B$2/B1354</f>
        <v>151.74193548387095</v>
      </c>
      <c r="D1354" s="43">
        <f ca="1">WORKDAY(Inputs!$B$3, ROUND(C1354, 0),Sheet2!$A$2:$A$21)</f>
        <v>46240</v>
      </c>
    </row>
    <row r="1355" spans="1:4" x14ac:dyDescent="0.25">
      <c r="A1355" s="42">
        <f t="shared" si="23"/>
        <v>1354</v>
      </c>
      <c r="B1355" s="42" cm="1">
        <f t="array" aca="1" ref="B1355" ca="1">INDEX(Historical!$A$1:$A$18, RANDBETWEEN(1, COUNTA(Historical!$A$1:$A$18)))</f>
        <v>1.2941176470588236</v>
      </c>
      <c r="C1355" s="42">
        <f ca="1">Inputs!$B$2/B1355</f>
        <v>173.09090909090909</v>
      </c>
      <c r="D1355" s="43">
        <f ca="1">WORKDAY(Inputs!$B$3, ROUND(C1355, 0),Sheet2!$A$2:$A$21)</f>
        <v>46269</v>
      </c>
    </row>
    <row r="1356" spans="1:4" x14ac:dyDescent="0.25">
      <c r="A1356" s="42">
        <f t="shared" si="23"/>
        <v>1355</v>
      </c>
      <c r="B1356" s="42" cm="1">
        <f t="array" aca="1" ref="B1356" ca="1">INDEX(Historical!$A$1:$A$18, RANDBETWEEN(1, COUNTA(Historical!$A$1:$A$18)))</f>
        <v>1.3617021276595744</v>
      </c>
      <c r="C1356" s="42">
        <f ca="1">Inputs!$B$2/B1356</f>
        <v>164.5</v>
      </c>
      <c r="D1356" s="43">
        <f ca="1">WORKDAY(Inputs!$B$3, ROUND(C1356, 0),Sheet2!$A$2:$A$21)</f>
        <v>46259</v>
      </c>
    </row>
    <row r="1357" spans="1:4" x14ac:dyDescent="0.25">
      <c r="A1357" s="42">
        <f t="shared" si="23"/>
        <v>1356</v>
      </c>
      <c r="B1357" s="42" cm="1">
        <f t="array" aca="1" ref="B1357" ca="1">INDEX(Historical!$A$1:$A$18, RANDBETWEEN(1, COUNTA(Historical!$A$1:$A$18)))</f>
        <v>1.4347826086956521</v>
      </c>
      <c r="C1357" s="42">
        <f ca="1">Inputs!$B$2/B1357</f>
        <v>156.12121212121212</v>
      </c>
      <c r="D1357" s="43">
        <f ca="1">WORKDAY(Inputs!$B$3, ROUND(C1357, 0),Sheet2!$A$2:$A$21)</f>
        <v>46246</v>
      </c>
    </row>
    <row r="1358" spans="1:4" x14ac:dyDescent="0.25">
      <c r="A1358" s="42">
        <f t="shared" si="23"/>
        <v>1357</v>
      </c>
      <c r="B1358" s="42" cm="1">
        <f t="array" aca="1" ref="B1358" ca="1">INDEX(Historical!$A$1:$A$18, RANDBETWEEN(1, COUNTA(Historical!$A$1:$A$18)))</f>
        <v>1.5</v>
      </c>
      <c r="C1358" s="42">
        <f ca="1">Inputs!$B$2/B1358</f>
        <v>149.33333333333334</v>
      </c>
      <c r="D1358" s="43">
        <f ca="1">WORKDAY(Inputs!$B$3, ROUND(C1358, 0),Sheet2!$A$2:$A$21)</f>
        <v>46237</v>
      </c>
    </row>
    <row r="1359" spans="1:4" x14ac:dyDescent="0.25">
      <c r="A1359" s="42">
        <f t="shared" si="23"/>
        <v>1358</v>
      </c>
      <c r="B1359" s="42" cm="1">
        <f t="array" aca="1" ref="B1359" ca="1">INDEX(Historical!$A$1:$A$18, RANDBETWEEN(1, COUNTA(Historical!$A$1:$A$18)))</f>
        <v>1.4038461538461537</v>
      </c>
      <c r="C1359" s="42">
        <f ca="1">Inputs!$B$2/B1359</f>
        <v>159.56164383561645</v>
      </c>
      <c r="D1359" s="43">
        <f ca="1">WORKDAY(Inputs!$B$3, ROUND(C1359, 0),Sheet2!$A$2:$A$21)</f>
        <v>46252</v>
      </c>
    </row>
    <row r="1360" spans="1:4" x14ac:dyDescent="0.25">
      <c r="A1360" s="42">
        <f t="shared" si="23"/>
        <v>1359</v>
      </c>
      <c r="B1360" s="42" cm="1">
        <f t="array" aca="1" ref="B1360" ca="1">INDEX(Historical!$A$1:$A$18, RANDBETWEEN(1, COUNTA(Historical!$A$1:$A$18)))</f>
        <v>1.1666666666666667</v>
      </c>
      <c r="C1360" s="42">
        <f ca="1">Inputs!$B$2/B1360</f>
        <v>192</v>
      </c>
      <c r="D1360" s="43">
        <f ca="1">WORKDAY(Inputs!$B$3, ROUND(C1360, 0),Sheet2!$A$2:$A$21)</f>
        <v>46297</v>
      </c>
    </row>
    <row r="1361" spans="1:4" x14ac:dyDescent="0.25">
      <c r="A1361" s="42">
        <f t="shared" si="23"/>
        <v>1360</v>
      </c>
      <c r="B1361" s="42" cm="1">
        <f t="array" aca="1" ref="B1361" ca="1">INDEX(Historical!$A$1:$A$18, RANDBETWEEN(1, COUNTA(Historical!$A$1:$A$18)))</f>
        <v>1.303030303030303</v>
      </c>
      <c r="C1361" s="42">
        <f ca="1">Inputs!$B$2/B1361</f>
        <v>171.90697674418604</v>
      </c>
      <c r="D1361" s="43">
        <f ca="1">WORKDAY(Inputs!$B$3, ROUND(C1361, 0),Sheet2!$A$2:$A$21)</f>
        <v>46268</v>
      </c>
    </row>
    <row r="1362" spans="1:4" x14ac:dyDescent="0.25">
      <c r="A1362" s="42">
        <f t="shared" si="23"/>
        <v>1361</v>
      </c>
      <c r="B1362" s="42" cm="1">
        <f t="array" aca="1" ref="B1362" ca="1">INDEX(Historical!$A$1:$A$18, RANDBETWEEN(1, COUNTA(Historical!$A$1:$A$18)))</f>
        <v>1.5</v>
      </c>
      <c r="C1362" s="42">
        <f ca="1">Inputs!$B$2/B1362</f>
        <v>149.33333333333334</v>
      </c>
      <c r="D1362" s="43">
        <f ca="1">WORKDAY(Inputs!$B$3, ROUND(C1362, 0),Sheet2!$A$2:$A$21)</f>
        <v>46237</v>
      </c>
    </row>
    <row r="1363" spans="1:4" x14ac:dyDescent="0.25">
      <c r="A1363" s="42">
        <f t="shared" si="23"/>
        <v>1362</v>
      </c>
      <c r="B1363" s="42" cm="1">
        <f t="array" aca="1" ref="B1363" ca="1">INDEX(Historical!$A$1:$A$18, RANDBETWEEN(1, COUNTA(Historical!$A$1:$A$18)))</f>
        <v>1.4347826086956521</v>
      </c>
      <c r="C1363" s="42">
        <f ca="1">Inputs!$B$2/B1363</f>
        <v>156.12121212121212</v>
      </c>
      <c r="D1363" s="43">
        <f ca="1">WORKDAY(Inputs!$B$3, ROUND(C1363, 0),Sheet2!$A$2:$A$21)</f>
        <v>46246</v>
      </c>
    </row>
    <row r="1364" spans="1:4" x14ac:dyDescent="0.25">
      <c r="A1364" s="42">
        <f t="shared" si="23"/>
        <v>1363</v>
      </c>
      <c r="B1364" s="42" cm="1">
        <f t="array" aca="1" ref="B1364" ca="1">INDEX(Historical!$A$1:$A$18, RANDBETWEEN(1, COUNTA(Historical!$A$1:$A$18)))</f>
        <v>1.3214285714285714</v>
      </c>
      <c r="C1364" s="42">
        <f ca="1">Inputs!$B$2/B1364</f>
        <v>169.51351351351352</v>
      </c>
      <c r="D1364" s="43">
        <f ca="1">WORKDAY(Inputs!$B$3, ROUND(C1364, 0),Sheet2!$A$2:$A$21)</f>
        <v>46266</v>
      </c>
    </row>
    <row r="1365" spans="1:4" x14ac:dyDescent="0.25">
      <c r="A1365" s="42">
        <f t="shared" si="23"/>
        <v>1364</v>
      </c>
      <c r="B1365" s="42" cm="1">
        <f t="array" aca="1" ref="B1365" ca="1">INDEX(Historical!$A$1:$A$18, RANDBETWEEN(1, COUNTA(Historical!$A$1:$A$18)))</f>
        <v>1.4347826086956521</v>
      </c>
      <c r="C1365" s="42">
        <f ca="1">Inputs!$B$2/B1365</f>
        <v>156.12121212121212</v>
      </c>
      <c r="D1365" s="43">
        <f ca="1">WORKDAY(Inputs!$B$3, ROUND(C1365, 0),Sheet2!$A$2:$A$21)</f>
        <v>46246</v>
      </c>
    </row>
    <row r="1366" spans="1:4" x14ac:dyDescent="0.25">
      <c r="A1366" s="42">
        <f t="shared" si="23"/>
        <v>1365</v>
      </c>
      <c r="B1366" s="42" cm="1">
        <f t="array" aca="1" ref="B1366" ca="1">INDEX(Historical!$A$1:$A$18, RANDBETWEEN(1, COUNTA(Historical!$A$1:$A$18)))</f>
        <v>1.3214285714285714</v>
      </c>
      <c r="C1366" s="42">
        <f ca="1">Inputs!$B$2/B1366</f>
        <v>169.51351351351352</v>
      </c>
      <c r="D1366" s="43">
        <f ca="1">WORKDAY(Inputs!$B$3, ROUND(C1366, 0),Sheet2!$A$2:$A$21)</f>
        <v>46266</v>
      </c>
    </row>
    <row r="1367" spans="1:4" x14ac:dyDescent="0.25">
      <c r="A1367" s="42">
        <f t="shared" si="23"/>
        <v>1366</v>
      </c>
      <c r="B1367" s="42" cm="1">
        <f t="array" aca="1" ref="B1367" ca="1">INDEX(Historical!$A$1:$A$18, RANDBETWEEN(1, COUNTA(Historical!$A$1:$A$18)))</f>
        <v>1.4137931034482758</v>
      </c>
      <c r="C1367" s="42">
        <f ca="1">Inputs!$B$2/B1367</f>
        <v>158.4390243902439</v>
      </c>
      <c r="D1367" s="43">
        <f ca="1">WORKDAY(Inputs!$B$3, ROUND(C1367, 0),Sheet2!$A$2:$A$21)</f>
        <v>46248</v>
      </c>
    </row>
    <row r="1368" spans="1:4" x14ac:dyDescent="0.25">
      <c r="A1368" s="42">
        <f t="shared" si="23"/>
        <v>1367</v>
      </c>
      <c r="B1368" s="42" cm="1">
        <f t="array" aca="1" ref="B1368" ca="1">INDEX(Historical!$A$1:$A$18, RANDBETWEEN(1, COUNTA(Historical!$A$1:$A$18)))</f>
        <v>1.3617021276595744</v>
      </c>
      <c r="C1368" s="42">
        <f ca="1">Inputs!$B$2/B1368</f>
        <v>164.5</v>
      </c>
      <c r="D1368" s="43">
        <f ca="1">WORKDAY(Inputs!$B$3, ROUND(C1368, 0),Sheet2!$A$2:$A$21)</f>
        <v>46259</v>
      </c>
    </row>
    <row r="1369" spans="1:4" x14ac:dyDescent="0.25">
      <c r="A1369" s="42">
        <f t="shared" si="23"/>
        <v>1368</v>
      </c>
      <c r="B1369" s="42" cm="1">
        <f t="array" aca="1" ref="B1369" ca="1">INDEX(Historical!$A$1:$A$18, RANDBETWEEN(1, COUNTA(Historical!$A$1:$A$18)))</f>
        <v>1.3157894736842106</v>
      </c>
      <c r="C1369" s="42">
        <f ca="1">Inputs!$B$2/B1369</f>
        <v>170.23999999999998</v>
      </c>
      <c r="D1369" s="43">
        <f ca="1">WORKDAY(Inputs!$B$3, ROUND(C1369, 0),Sheet2!$A$2:$A$21)</f>
        <v>46266</v>
      </c>
    </row>
    <row r="1370" spans="1:4" x14ac:dyDescent="0.25">
      <c r="A1370" s="42">
        <f t="shared" si="23"/>
        <v>1369</v>
      </c>
      <c r="B1370" s="42" cm="1">
        <f t="array" aca="1" ref="B1370" ca="1">INDEX(Historical!$A$1:$A$18, RANDBETWEEN(1, COUNTA(Historical!$A$1:$A$18)))</f>
        <v>1.375</v>
      </c>
      <c r="C1370" s="42">
        <f ca="1">Inputs!$B$2/B1370</f>
        <v>162.90909090909091</v>
      </c>
      <c r="D1370" s="43">
        <f ca="1">WORKDAY(Inputs!$B$3, ROUND(C1370, 0),Sheet2!$A$2:$A$21)</f>
        <v>46255</v>
      </c>
    </row>
    <row r="1371" spans="1:4" x14ac:dyDescent="0.25">
      <c r="A1371" s="42">
        <f t="shared" si="23"/>
        <v>1370</v>
      </c>
      <c r="B1371" s="42" cm="1">
        <f t="array" aca="1" ref="B1371" ca="1">INDEX(Historical!$A$1:$A$18, RANDBETWEEN(1, COUNTA(Historical!$A$1:$A$18)))</f>
        <v>1.4347826086956521</v>
      </c>
      <c r="C1371" s="42">
        <f ca="1">Inputs!$B$2/B1371</f>
        <v>156.12121212121212</v>
      </c>
      <c r="D1371" s="43">
        <f ca="1">WORKDAY(Inputs!$B$3, ROUND(C1371, 0),Sheet2!$A$2:$A$21)</f>
        <v>46246</v>
      </c>
    </row>
    <row r="1372" spans="1:4" x14ac:dyDescent="0.25">
      <c r="A1372" s="42">
        <f t="shared" si="23"/>
        <v>1371</v>
      </c>
      <c r="B1372" s="42" cm="1">
        <f t="array" aca="1" ref="B1372" ca="1">INDEX(Historical!$A$1:$A$18, RANDBETWEEN(1, COUNTA(Historical!$A$1:$A$18)))</f>
        <v>1.2941176470588236</v>
      </c>
      <c r="C1372" s="42">
        <f ca="1">Inputs!$B$2/B1372</f>
        <v>173.09090909090909</v>
      </c>
      <c r="D1372" s="43">
        <f ca="1">WORKDAY(Inputs!$B$3, ROUND(C1372, 0),Sheet2!$A$2:$A$21)</f>
        <v>46269</v>
      </c>
    </row>
    <row r="1373" spans="1:4" x14ac:dyDescent="0.25">
      <c r="A1373" s="42">
        <f t="shared" si="23"/>
        <v>1372</v>
      </c>
      <c r="B1373" s="42" cm="1">
        <f t="array" aca="1" ref="B1373" ca="1">INDEX(Historical!$A$1:$A$18, RANDBETWEEN(1, COUNTA(Historical!$A$1:$A$18)))</f>
        <v>1.3559322033898304</v>
      </c>
      <c r="C1373" s="42">
        <f ca="1">Inputs!$B$2/B1373</f>
        <v>165.20000000000002</v>
      </c>
      <c r="D1373" s="43">
        <f ca="1">WORKDAY(Inputs!$B$3, ROUND(C1373, 0),Sheet2!$A$2:$A$21)</f>
        <v>46259</v>
      </c>
    </row>
    <row r="1374" spans="1:4" x14ac:dyDescent="0.25">
      <c r="A1374" s="42">
        <f t="shared" si="23"/>
        <v>1373</v>
      </c>
      <c r="B1374" s="42" cm="1">
        <f t="array" aca="1" ref="B1374" ca="1">INDEX(Historical!$A$1:$A$18, RANDBETWEEN(1, COUNTA(Historical!$A$1:$A$18)))</f>
        <v>1.4137931034482758</v>
      </c>
      <c r="C1374" s="42">
        <f ca="1">Inputs!$B$2/B1374</f>
        <v>158.4390243902439</v>
      </c>
      <c r="D1374" s="43">
        <f ca="1">WORKDAY(Inputs!$B$3, ROUND(C1374, 0),Sheet2!$A$2:$A$21)</f>
        <v>46248</v>
      </c>
    </row>
    <row r="1375" spans="1:4" x14ac:dyDescent="0.25">
      <c r="A1375" s="42">
        <f t="shared" si="23"/>
        <v>1374</v>
      </c>
      <c r="B1375" s="42" cm="1">
        <f t="array" aca="1" ref="B1375" ca="1">INDEX(Historical!$A$1:$A$18, RANDBETWEEN(1, COUNTA(Historical!$A$1:$A$18)))</f>
        <v>1.3157894736842106</v>
      </c>
      <c r="C1375" s="42">
        <f ca="1">Inputs!$B$2/B1375</f>
        <v>170.23999999999998</v>
      </c>
      <c r="D1375" s="43">
        <f ca="1">WORKDAY(Inputs!$B$3, ROUND(C1375, 0),Sheet2!$A$2:$A$21)</f>
        <v>46266</v>
      </c>
    </row>
    <row r="1376" spans="1:4" x14ac:dyDescent="0.25">
      <c r="A1376" s="42">
        <f t="shared" si="23"/>
        <v>1375</v>
      </c>
      <c r="B1376" s="42" cm="1">
        <f t="array" aca="1" ref="B1376" ca="1">INDEX(Historical!$A$1:$A$18, RANDBETWEEN(1, COUNTA(Historical!$A$1:$A$18)))</f>
        <v>1.3559322033898304</v>
      </c>
      <c r="C1376" s="42">
        <f ca="1">Inputs!$B$2/B1376</f>
        <v>165.20000000000002</v>
      </c>
      <c r="D1376" s="43">
        <f ca="1">WORKDAY(Inputs!$B$3, ROUND(C1376, 0),Sheet2!$A$2:$A$21)</f>
        <v>46259</v>
      </c>
    </row>
    <row r="1377" spans="1:4" x14ac:dyDescent="0.25">
      <c r="A1377" s="42">
        <f t="shared" si="23"/>
        <v>1376</v>
      </c>
      <c r="B1377" s="42" cm="1">
        <f t="array" aca="1" ref="B1377" ca="1">INDEX(Historical!$A$1:$A$18, RANDBETWEEN(1, COUNTA(Historical!$A$1:$A$18)))</f>
        <v>1.1666666666666667</v>
      </c>
      <c r="C1377" s="42">
        <f ca="1">Inputs!$B$2/B1377</f>
        <v>192</v>
      </c>
      <c r="D1377" s="43">
        <f ca="1">WORKDAY(Inputs!$B$3, ROUND(C1377, 0),Sheet2!$A$2:$A$21)</f>
        <v>46297</v>
      </c>
    </row>
    <row r="1378" spans="1:4" x14ac:dyDescent="0.25">
      <c r="A1378" s="42">
        <f t="shared" si="23"/>
        <v>1377</v>
      </c>
      <c r="B1378" s="42" cm="1">
        <f t="array" aca="1" ref="B1378" ca="1">INDEX(Historical!$A$1:$A$18, RANDBETWEEN(1, COUNTA(Historical!$A$1:$A$18)))</f>
        <v>1.375</v>
      </c>
      <c r="C1378" s="42">
        <f ca="1">Inputs!$B$2/B1378</f>
        <v>162.90909090909091</v>
      </c>
      <c r="D1378" s="43">
        <f ca="1">WORKDAY(Inputs!$B$3, ROUND(C1378, 0),Sheet2!$A$2:$A$21)</f>
        <v>46255</v>
      </c>
    </row>
    <row r="1379" spans="1:4" x14ac:dyDescent="0.25">
      <c r="A1379" s="42">
        <f t="shared" si="23"/>
        <v>1378</v>
      </c>
      <c r="B1379" s="42" cm="1">
        <f t="array" aca="1" ref="B1379" ca="1">INDEX(Historical!$A$1:$A$18, RANDBETWEEN(1, COUNTA(Historical!$A$1:$A$18)))</f>
        <v>1.3617021276595744</v>
      </c>
      <c r="C1379" s="42">
        <f ca="1">Inputs!$B$2/B1379</f>
        <v>164.5</v>
      </c>
      <c r="D1379" s="43">
        <f ca="1">WORKDAY(Inputs!$B$3, ROUND(C1379, 0),Sheet2!$A$2:$A$21)</f>
        <v>46259</v>
      </c>
    </row>
    <row r="1380" spans="1:4" x14ac:dyDescent="0.25">
      <c r="A1380" s="42">
        <f t="shared" si="23"/>
        <v>1379</v>
      </c>
      <c r="B1380" s="42" cm="1">
        <f t="array" aca="1" ref="B1380" ca="1">INDEX(Historical!$A$1:$A$18, RANDBETWEEN(1, COUNTA(Historical!$A$1:$A$18)))</f>
        <v>1.290909090909091</v>
      </c>
      <c r="C1380" s="42">
        <f ca="1">Inputs!$B$2/B1380</f>
        <v>173.52112676056336</v>
      </c>
      <c r="D1380" s="43">
        <f ca="1">WORKDAY(Inputs!$B$3, ROUND(C1380, 0),Sheet2!$A$2:$A$21)</f>
        <v>46273</v>
      </c>
    </row>
    <row r="1381" spans="1:4" x14ac:dyDescent="0.25">
      <c r="A1381" s="42">
        <f t="shared" si="23"/>
        <v>1380</v>
      </c>
      <c r="B1381" s="42" cm="1">
        <f t="array" aca="1" ref="B1381" ca="1">INDEX(Historical!$A$1:$A$18, RANDBETWEEN(1, COUNTA(Historical!$A$1:$A$18)))</f>
        <v>1.1666666666666667</v>
      </c>
      <c r="C1381" s="42">
        <f ca="1">Inputs!$B$2/B1381</f>
        <v>192</v>
      </c>
      <c r="D1381" s="43">
        <f ca="1">WORKDAY(Inputs!$B$3, ROUND(C1381, 0),Sheet2!$A$2:$A$21)</f>
        <v>46297</v>
      </c>
    </row>
    <row r="1382" spans="1:4" x14ac:dyDescent="0.25">
      <c r="A1382" s="42">
        <f t="shared" si="23"/>
        <v>1381</v>
      </c>
      <c r="B1382" s="42" cm="1">
        <f t="array" aca="1" ref="B1382" ca="1">INDEX(Historical!$A$1:$A$18, RANDBETWEEN(1, COUNTA(Historical!$A$1:$A$18)))</f>
        <v>1.5</v>
      </c>
      <c r="C1382" s="42">
        <f ca="1">Inputs!$B$2/B1382</f>
        <v>149.33333333333334</v>
      </c>
      <c r="D1382" s="43">
        <f ca="1">WORKDAY(Inputs!$B$3, ROUND(C1382, 0),Sheet2!$A$2:$A$21)</f>
        <v>46237</v>
      </c>
    </row>
    <row r="1383" spans="1:4" x14ac:dyDescent="0.25">
      <c r="A1383" s="42">
        <f t="shared" si="23"/>
        <v>1382</v>
      </c>
      <c r="B1383" s="42" cm="1">
        <f t="array" aca="1" ref="B1383" ca="1">INDEX(Historical!$A$1:$A$18, RANDBETWEEN(1, COUNTA(Historical!$A$1:$A$18)))</f>
        <v>1.303030303030303</v>
      </c>
      <c r="C1383" s="42">
        <f ca="1">Inputs!$B$2/B1383</f>
        <v>171.90697674418604</v>
      </c>
      <c r="D1383" s="43">
        <f ca="1">WORKDAY(Inputs!$B$3, ROUND(C1383, 0),Sheet2!$A$2:$A$21)</f>
        <v>46268</v>
      </c>
    </row>
    <row r="1384" spans="1:4" x14ac:dyDescent="0.25">
      <c r="A1384" s="42">
        <f t="shared" si="23"/>
        <v>1383</v>
      </c>
      <c r="B1384" s="42" cm="1">
        <f t="array" aca="1" ref="B1384" ca="1">INDEX(Historical!$A$1:$A$18, RANDBETWEEN(1, COUNTA(Historical!$A$1:$A$18)))</f>
        <v>1.1666666666666667</v>
      </c>
      <c r="C1384" s="42">
        <f ca="1">Inputs!$B$2/B1384</f>
        <v>192</v>
      </c>
      <c r="D1384" s="43">
        <f ca="1">WORKDAY(Inputs!$B$3, ROUND(C1384, 0),Sheet2!$A$2:$A$21)</f>
        <v>46297</v>
      </c>
    </row>
    <row r="1385" spans="1:4" x14ac:dyDescent="0.25">
      <c r="A1385" s="42">
        <f t="shared" si="23"/>
        <v>1384</v>
      </c>
      <c r="B1385" s="42" cm="1">
        <f t="array" aca="1" ref="B1385" ca="1">INDEX(Historical!$A$1:$A$18, RANDBETWEEN(1, COUNTA(Historical!$A$1:$A$18)))</f>
        <v>1.1666666666666667</v>
      </c>
      <c r="C1385" s="42">
        <f ca="1">Inputs!$B$2/B1385</f>
        <v>192</v>
      </c>
      <c r="D1385" s="43">
        <f ca="1">WORKDAY(Inputs!$B$3, ROUND(C1385, 0),Sheet2!$A$2:$A$21)</f>
        <v>46297</v>
      </c>
    </row>
    <row r="1386" spans="1:4" x14ac:dyDescent="0.25">
      <c r="A1386" s="42">
        <f t="shared" si="23"/>
        <v>1385</v>
      </c>
      <c r="B1386" s="42" cm="1">
        <f t="array" aca="1" ref="B1386" ca="1">INDEX(Historical!$A$1:$A$18, RANDBETWEEN(1, COUNTA(Historical!$A$1:$A$18)))</f>
        <v>1.4347826086956521</v>
      </c>
      <c r="C1386" s="42">
        <f ca="1">Inputs!$B$2/B1386</f>
        <v>156.12121212121212</v>
      </c>
      <c r="D1386" s="43">
        <f ca="1">WORKDAY(Inputs!$B$3, ROUND(C1386, 0),Sheet2!$A$2:$A$21)</f>
        <v>46246</v>
      </c>
    </row>
    <row r="1387" spans="1:4" x14ac:dyDescent="0.25">
      <c r="A1387" s="42">
        <f t="shared" si="23"/>
        <v>1386</v>
      </c>
      <c r="B1387" s="42" cm="1">
        <f t="array" aca="1" ref="B1387" ca="1">INDEX(Historical!$A$1:$A$18, RANDBETWEEN(1, COUNTA(Historical!$A$1:$A$18)))</f>
        <v>1.1666666666666667</v>
      </c>
      <c r="C1387" s="42">
        <f ca="1">Inputs!$B$2/B1387</f>
        <v>192</v>
      </c>
      <c r="D1387" s="43">
        <f ca="1">WORKDAY(Inputs!$B$3, ROUND(C1387, 0),Sheet2!$A$2:$A$21)</f>
        <v>46297</v>
      </c>
    </row>
    <row r="1388" spans="1:4" x14ac:dyDescent="0.25">
      <c r="A1388" s="42">
        <f t="shared" si="23"/>
        <v>1387</v>
      </c>
      <c r="B1388" s="42" cm="1">
        <f t="array" aca="1" ref="B1388" ca="1">INDEX(Historical!$A$1:$A$18, RANDBETWEEN(1, COUNTA(Historical!$A$1:$A$18)))</f>
        <v>1.4137931034482758</v>
      </c>
      <c r="C1388" s="42">
        <f ca="1">Inputs!$B$2/B1388</f>
        <v>158.4390243902439</v>
      </c>
      <c r="D1388" s="43">
        <f ca="1">WORKDAY(Inputs!$B$3, ROUND(C1388, 0),Sheet2!$A$2:$A$21)</f>
        <v>46248</v>
      </c>
    </row>
    <row r="1389" spans="1:4" x14ac:dyDescent="0.25">
      <c r="A1389" s="42">
        <f t="shared" si="23"/>
        <v>1388</v>
      </c>
      <c r="B1389" s="42" cm="1">
        <f t="array" aca="1" ref="B1389" ca="1">INDEX(Historical!$A$1:$A$18, RANDBETWEEN(1, COUNTA(Historical!$A$1:$A$18)))</f>
        <v>1.290909090909091</v>
      </c>
      <c r="C1389" s="42">
        <f ca="1">Inputs!$B$2/B1389</f>
        <v>173.52112676056336</v>
      </c>
      <c r="D1389" s="43">
        <f ca="1">WORKDAY(Inputs!$B$3, ROUND(C1389, 0),Sheet2!$A$2:$A$21)</f>
        <v>46273</v>
      </c>
    </row>
    <row r="1390" spans="1:4" x14ac:dyDescent="0.25">
      <c r="A1390" s="42">
        <f t="shared" si="23"/>
        <v>1389</v>
      </c>
      <c r="B1390" s="42" cm="1">
        <f t="array" aca="1" ref="B1390" ca="1">INDEX(Historical!$A$1:$A$18, RANDBETWEEN(1, COUNTA(Historical!$A$1:$A$18)))</f>
        <v>1.3692307692307693</v>
      </c>
      <c r="C1390" s="42">
        <f ca="1">Inputs!$B$2/B1390</f>
        <v>163.59550561797752</v>
      </c>
      <c r="D1390" s="43">
        <f ca="1">WORKDAY(Inputs!$B$3, ROUND(C1390, 0),Sheet2!$A$2:$A$21)</f>
        <v>46258</v>
      </c>
    </row>
    <row r="1391" spans="1:4" x14ac:dyDescent="0.25">
      <c r="A1391" s="42">
        <f t="shared" si="23"/>
        <v>1390</v>
      </c>
      <c r="B1391" s="42" cm="1">
        <f t="array" aca="1" ref="B1391" ca="1">INDEX(Historical!$A$1:$A$18, RANDBETWEEN(1, COUNTA(Historical!$A$1:$A$18)))</f>
        <v>1.368421052631579</v>
      </c>
      <c r="C1391" s="42">
        <f ca="1">Inputs!$B$2/B1391</f>
        <v>163.69230769230768</v>
      </c>
      <c r="D1391" s="43">
        <f ca="1">WORKDAY(Inputs!$B$3, ROUND(C1391, 0),Sheet2!$A$2:$A$21)</f>
        <v>46258</v>
      </c>
    </row>
    <row r="1392" spans="1:4" x14ac:dyDescent="0.25">
      <c r="A1392" s="42">
        <f t="shared" si="23"/>
        <v>1391</v>
      </c>
      <c r="B1392" s="42" cm="1">
        <f t="array" aca="1" ref="B1392" ca="1">INDEX(Historical!$A$1:$A$18, RANDBETWEEN(1, COUNTA(Historical!$A$1:$A$18)))</f>
        <v>1.290909090909091</v>
      </c>
      <c r="C1392" s="42">
        <f ca="1">Inputs!$B$2/B1392</f>
        <v>173.52112676056336</v>
      </c>
      <c r="D1392" s="43">
        <f ca="1">WORKDAY(Inputs!$B$3, ROUND(C1392, 0),Sheet2!$A$2:$A$21)</f>
        <v>46273</v>
      </c>
    </row>
    <row r="1393" spans="1:4" x14ac:dyDescent="0.25">
      <c r="A1393" s="42">
        <f t="shared" si="23"/>
        <v>1392</v>
      </c>
      <c r="B1393" s="42" cm="1">
        <f t="array" aca="1" ref="B1393" ca="1">INDEX(Historical!$A$1:$A$18, RANDBETWEEN(1, COUNTA(Historical!$A$1:$A$18)))</f>
        <v>1.4347826086956521</v>
      </c>
      <c r="C1393" s="42">
        <f ca="1">Inputs!$B$2/B1393</f>
        <v>156.12121212121212</v>
      </c>
      <c r="D1393" s="43">
        <f ca="1">WORKDAY(Inputs!$B$3, ROUND(C1393, 0),Sheet2!$A$2:$A$21)</f>
        <v>46246</v>
      </c>
    </row>
    <row r="1394" spans="1:4" x14ac:dyDescent="0.25">
      <c r="A1394" s="42">
        <f t="shared" si="23"/>
        <v>1393</v>
      </c>
      <c r="B1394" s="42" cm="1">
        <f t="array" aca="1" ref="B1394" ca="1">INDEX(Historical!$A$1:$A$18, RANDBETWEEN(1, COUNTA(Historical!$A$1:$A$18)))</f>
        <v>1.4038461538461537</v>
      </c>
      <c r="C1394" s="42">
        <f ca="1">Inputs!$B$2/B1394</f>
        <v>159.56164383561645</v>
      </c>
      <c r="D1394" s="43">
        <f ca="1">WORKDAY(Inputs!$B$3, ROUND(C1394, 0),Sheet2!$A$2:$A$21)</f>
        <v>46252</v>
      </c>
    </row>
    <row r="1395" spans="1:4" x14ac:dyDescent="0.25">
      <c r="A1395" s="42">
        <f t="shared" si="23"/>
        <v>1394</v>
      </c>
      <c r="B1395" s="42" cm="1">
        <f t="array" aca="1" ref="B1395" ca="1">INDEX(Historical!$A$1:$A$18, RANDBETWEEN(1, COUNTA(Historical!$A$1:$A$18)))</f>
        <v>1.4137931034482758</v>
      </c>
      <c r="C1395" s="42">
        <f ca="1">Inputs!$B$2/B1395</f>
        <v>158.4390243902439</v>
      </c>
      <c r="D1395" s="43">
        <f ca="1">WORKDAY(Inputs!$B$3, ROUND(C1395, 0),Sheet2!$A$2:$A$21)</f>
        <v>46248</v>
      </c>
    </row>
    <row r="1396" spans="1:4" x14ac:dyDescent="0.25">
      <c r="A1396" s="42">
        <f t="shared" si="23"/>
        <v>1395</v>
      </c>
      <c r="B1396" s="42" cm="1">
        <f t="array" aca="1" ref="B1396" ca="1">INDEX(Historical!$A$1:$A$18, RANDBETWEEN(1, COUNTA(Historical!$A$1:$A$18)))</f>
        <v>1.3611111111111112</v>
      </c>
      <c r="C1396" s="42">
        <f ca="1">Inputs!$B$2/B1396</f>
        <v>164.57142857142856</v>
      </c>
      <c r="D1396" s="43">
        <f ca="1">WORKDAY(Inputs!$B$3, ROUND(C1396, 0),Sheet2!$A$2:$A$21)</f>
        <v>46259</v>
      </c>
    </row>
    <row r="1397" spans="1:4" x14ac:dyDescent="0.25">
      <c r="A1397" s="42">
        <f t="shared" si="23"/>
        <v>1396</v>
      </c>
      <c r="B1397" s="42" cm="1">
        <f t="array" aca="1" ref="B1397" ca="1">INDEX(Historical!$A$1:$A$18, RANDBETWEEN(1, COUNTA(Historical!$A$1:$A$18)))</f>
        <v>1.4761904761904763</v>
      </c>
      <c r="C1397" s="42">
        <f ca="1">Inputs!$B$2/B1397</f>
        <v>151.74193548387095</v>
      </c>
      <c r="D1397" s="43">
        <f ca="1">WORKDAY(Inputs!$B$3, ROUND(C1397, 0),Sheet2!$A$2:$A$21)</f>
        <v>46240</v>
      </c>
    </row>
    <row r="1398" spans="1:4" x14ac:dyDescent="0.25">
      <c r="A1398" s="42">
        <f t="shared" si="23"/>
        <v>1397</v>
      </c>
      <c r="B1398" s="42" cm="1">
        <f t="array" aca="1" ref="B1398" ca="1">INDEX(Historical!$A$1:$A$18, RANDBETWEEN(1, COUNTA(Historical!$A$1:$A$18)))</f>
        <v>1.3707865168539326</v>
      </c>
      <c r="C1398" s="42">
        <f ca="1">Inputs!$B$2/B1398</f>
        <v>163.40983606557376</v>
      </c>
      <c r="D1398" s="43">
        <f ca="1">WORKDAY(Inputs!$B$3, ROUND(C1398, 0),Sheet2!$A$2:$A$21)</f>
        <v>46255</v>
      </c>
    </row>
    <row r="1399" spans="1:4" x14ac:dyDescent="0.25">
      <c r="A1399" s="42">
        <f t="shared" si="23"/>
        <v>1398</v>
      </c>
      <c r="B1399" s="42" cm="1">
        <f t="array" aca="1" ref="B1399" ca="1">INDEX(Historical!$A$1:$A$18, RANDBETWEEN(1, COUNTA(Historical!$A$1:$A$18)))</f>
        <v>1.368421052631579</v>
      </c>
      <c r="C1399" s="42">
        <f ca="1">Inputs!$B$2/B1399</f>
        <v>163.69230769230768</v>
      </c>
      <c r="D1399" s="43">
        <f ca="1">WORKDAY(Inputs!$B$3, ROUND(C1399, 0),Sheet2!$A$2:$A$21)</f>
        <v>46258</v>
      </c>
    </row>
    <row r="1400" spans="1:4" x14ac:dyDescent="0.25">
      <c r="A1400" s="42">
        <f t="shared" si="23"/>
        <v>1399</v>
      </c>
      <c r="B1400" s="42" cm="1">
        <f t="array" aca="1" ref="B1400" ca="1">INDEX(Historical!$A$1:$A$18, RANDBETWEEN(1, COUNTA(Historical!$A$1:$A$18)))</f>
        <v>1.3214285714285714</v>
      </c>
      <c r="C1400" s="42">
        <f ca="1">Inputs!$B$2/B1400</f>
        <v>169.51351351351352</v>
      </c>
      <c r="D1400" s="43">
        <f ca="1">WORKDAY(Inputs!$B$3, ROUND(C1400, 0),Sheet2!$A$2:$A$21)</f>
        <v>46266</v>
      </c>
    </row>
    <row r="1401" spans="1:4" x14ac:dyDescent="0.25">
      <c r="A1401" s="42">
        <f t="shared" si="23"/>
        <v>1400</v>
      </c>
      <c r="B1401" s="42" cm="1">
        <f t="array" aca="1" ref="B1401" ca="1">INDEX(Historical!$A$1:$A$18, RANDBETWEEN(1, COUNTA(Historical!$A$1:$A$18)))</f>
        <v>1.1666666666666667</v>
      </c>
      <c r="C1401" s="42">
        <f ca="1">Inputs!$B$2/B1401</f>
        <v>192</v>
      </c>
      <c r="D1401" s="43">
        <f ca="1">WORKDAY(Inputs!$B$3, ROUND(C1401, 0),Sheet2!$A$2:$A$21)</f>
        <v>46297</v>
      </c>
    </row>
    <row r="1402" spans="1:4" x14ac:dyDescent="0.25">
      <c r="A1402" s="42">
        <f t="shared" si="23"/>
        <v>1401</v>
      </c>
      <c r="B1402" s="42" cm="1">
        <f t="array" aca="1" ref="B1402" ca="1">INDEX(Historical!$A$1:$A$18, RANDBETWEEN(1, COUNTA(Historical!$A$1:$A$18)))</f>
        <v>1.368421052631579</v>
      </c>
      <c r="C1402" s="42">
        <f ca="1">Inputs!$B$2/B1402</f>
        <v>163.69230769230768</v>
      </c>
      <c r="D1402" s="43">
        <f ca="1">WORKDAY(Inputs!$B$3, ROUND(C1402, 0),Sheet2!$A$2:$A$21)</f>
        <v>46258</v>
      </c>
    </row>
    <row r="1403" spans="1:4" x14ac:dyDescent="0.25">
      <c r="A1403" s="42">
        <f t="shared" si="23"/>
        <v>1402</v>
      </c>
      <c r="B1403" s="42" cm="1">
        <f t="array" aca="1" ref="B1403" ca="1">INDEX(Historical!$A$1:$A$18, RANDBETWEEN(1, COUNTA(Historical!$A$1:$A$18)))</f>
        <v>1.4137931034482758</v>
      </c>
      <c r="C1403" s="42">
        <f ca="1">Inputs!$B$2/B1403</f>
        <v>158.4390243902439</v>
      </c>
      <c r="D1403" s="43">
        <f ca="1">WORKDAY(Inputs!$B$3, ROUND(C1403, 0),Sheet2!$A$2:$A$21)</f>
        <v>46248</v>
      </c>
    </row>
    <row r="1404" spans="1:4" x14ac:dyDescent="0.25">
      <c r="A1404" s="42">
        <f t="shared" si="23"/>
        <v>1403</v>
      </c>
      <c r="B1404" s="42" cm="1">
        <f t="array" aca="1" ref="B1404" ca="1">INDEX(Historical!$A$1:$A$18, RANDBETWEEN(1, COUNTA(Historical!$A$1:$A$18)))</f>
        <v>1.1666666666666667</v>
      </c>
      <c r="C1404" s="42">
        <f ca="1">Inputs!$B$2/B1404</f>
        <v>192</v>
      </c>
      <c r="D1404" s="43">
        <f ca="1">WORKDAY(Inputs!$B$3, ROUND(C1404, 0),Sheet2!$A$2:$A$21)</f>
        <v>46297</v>
      </c>
    </row>
    <row r="1405" spans="1:4" x14ac:dyDescent="0.25">
      <c r="A1405" s="42">
        <f t="shared" si="23"/>
        <v>1404</v>
      </c>
      <c r="B1405" s="42" cm="1">
        <f t="array" aca="1" ref="B1405" ca="1">INDEX(Historical!$A$1:$A$18, RANDBETWEEN(1, COUNTA(Historical!$A$1:$A$18)))</f>
        <v>1.4038461538461537</v>
      </c>
      <c r="C1405" s="42">
        <f ca="1">Inputs!$B$2/B1405</f>
        <v>159.56164383561645</v>
      </c>
      <c r="D1405" s="43">
        <f ca="1">WORKDAY(Inputs!$B$3, ROUND(C1405, 0),Sheet2!$A$2:$A$21)</f>
        <v>46252</v>
      </c>
    </row>
    <row r="1406" spans="1:4" x14ac:dyDescent="0.25">
      <c r="A1406" s="42">
        <f t="shared" si="23"/>
        <v>1405</v>
      </c>
      <c r="B1406" s="42" cm="1">
        <f t="array" aca="1" ref="B1406" ca="1">INDEX(Historical!$A$1:$A$18, RANDBETWEEN(1, COUNTA(Historical!$A$1:$A$18)))</f>
        <v>1.3157894736842106</v>
      </c>
      <c r="C1406" s="42">
        <f ca="1">Inputs!$B$2/B1406</f>
        <v>170.23999999999998</v>
      </c>
      <c r="D1406" s="43">
        <f ca="1">WORKDAY(Inputs!$B$3, ROUND(C1406, 0),Sheet2!$A$2:$A$21)</f>
        <v>46266</v>
      </c>
    </row>
    <row r="1407" spans="1:4" x14ac:dyDescent="0.25">
      <c r="A1407" s="42">
        <f t="shared" si="23"/>
        <v>1406</v>
      </c>
      <c r="B1407" s="42" cm="1">
        <f t="array" aca="1" ref="B1407" ca="1">INDEX(Historical!$A$1:$A$18, RANDBETWEEN(1, COUNTA(Historical!$A$1:$A$18)))</f>
        <v>1.3559322033898304</v>
      </c>
      <c r="C1407" s="42">
        <f ca="1">Inputs!$B$2/B1407</f>
        <v>165.20000000000002</v>
      </c>
      <c r="D1407" s="43">
        <f ca="1">WORKDAY(Inputs!$B$3, ROUND(C1407, 0),Sheet2!$A$2:$A$21)</f>
        <v>46259</v>
      </c>
    </row>
    <row r="1408" spans="1:4" x14ac:dyDescent="0.25">
      <c r="A1408" s="42">
        <f t="shared" si="23"/>
        <v>1407</v>
      </c>
      <c r="B1408" s="42" cm="1">
        <f t="array" aca="1" ref="B1408" ca="1">INDEX(Historical!$A$1:$A$18, RANDBETWEEN(1, COUNTA(Historical!$A$1:$A$18)))</f>
        <v>1.3214285714285714</v>
      </c>
      <c r="C1408" s="42">
        <f ca="1">Inputs!$B$2/B1408</f>
        <v>169.51351351351352</v>
      </c>
      <c r="D1408" s="43">
        <f ca="1">WORKDAY(Inputs!$B$3, ROUND(C1408, 0),Sheet2!$A$2:$A$21)</f>
        <v>46266</v>
      </c>
    </row>
    <row r="1409" spans="1:4" x14ac:dyDescent="0.25">
      <c r="A1409" s="42">
        <f t="shared" si="23"/>
        <v>1408</v>
      </c>
      <c r="B1409" s="42" cm="1">
        <f t="array" aca="1" ref="B1409" ca="1">INDEX(Historical!$A$1:$A$18, RANDBETWEEN(1, COUNTA(Historical!$A$1:$A$18)))</f>
        <v>1.3611111111111112</v>
      </c>
      <c r="C1409" s="42">
        <f ca="1">Inputs!$B$2/B1409</f>
        <v>164.57142857142856</v>
      </c>
      <c r="D1409" s="43">
        <f ca="1">WORKDAY(Inputs!$B$3, ROUND(C1409, 0),Sheet2!$A$2:$A$21)</f>
        <v>46259</v>
      </c>
    </row>
    <row r="1410" spans="1:4" x14ac:dyDescent="0.25">
      <c r="A1410" s="42">
        <f t="shared" si="23"/>
        <v>1409</v>
      </c>
      <c r="B1410" s="42" cm="1">
        <f t="array" aca="1" ref="B1410" ca="1">INDEX(Historical!$A$1:$A$18, RANDBETWEEN(1, COUNTA(Historical!$A$1:$A$18)))</f>
        <v>1.3559322033898304</v>
      </c>
      <c r="C1410" s="42">
        <f ca="1">Inputs!$B$2/B1410</f>
        <v>165.20000000000002</v>
      </c>
      <c r="D1410" s="43">
        <f ca="1">WORKDAY(Inputs!$B$3, ROUND(C1410, 0),Sheet2!$A$2:$A$21)</f>
        <v>46259</v>
      </c>
    </row>
    <row r="1411" spans="1:4" x14ac:dyDescent="0.25">
      <c r="A1411" s="42">
        <f t="shared" ref="A1411:A1474" si="24">ROW()-1</f>
        <v>1410</v>
      </c>
      <c r="B1411" s="42" cm="1">
        <f t="array" aca="1" ref="B1411" ca="1">INDEX(Historical!$A$1:$A$18, RANDBETWEEN(1, COUNTA(Historical!$A$1:$A$18)))</f>
        <v>1.3617021276595744</v>
      </c>
      <c r="C1411" s="42">
        <f ca="1">Inputs!$B$2/B1411</f>
        <v>164.5</v>
      </c>
      <c r="D1411" s="43">
        <f ca="1">WORKDAY(Inputs!$B$3, ROUND(C1411, 0),Sheet2!$A$2:$A$21)</f>
        <v>46259</v>
      </c>
    </row>
    <row r="1412" spans="1:4" x14ac:dyDescent="0.25">
      <c r="A1412" s="42">
        <f t="shared" si="24"/>
        <v>1411</v>
      </c>
      <c r="B1412" s="42" cm="1">
        <f t="array" aca="1" ref="B1412" ca="1">INDEX(Historical!$A$1:$A$18, RANDBETWEEN(1, COUNTA(Historical!$A$1:$A$18)))</f>
        <v>1.3611111111111112</v>
      </c>
      <c r="C1412" s="42">
        <f ca="1">Inputs!$B$2/B1412</f>
        <v>164.57142857142856</v>
      </c>
      <c r="D1412" s="43">
        <f ca="1">WORKDAY(Inputs!$B$3, ROUND(C1412, 0),Sheet2!$A$2:$A$21)</f>
        <v>46259</v>
      </c>
    </row>
    <row r="1413" spans="1:4" x14ac:dyDescent="0.25">
      <c r="A1413" s="42">
        <f t="shared" si="24"/>
        <v>1412</v>
      </c>
      <c r="B1413" s="42" cm="1">
        <f t="array" aca="1" ref="B1413" ca="1">INDEX(Historical!$A$1:$A$18, RANDBETWEEN(1, COUNTA(Historical!$A$1:$A$18)))</f>
        <v>1.303030303030303</v>
      </c>
      <c r="C1413" s="42">
        <f ca="1">Inputs!$B$2/B1413</f>
        <v>171.90697674418604</v>
      </c>
      <c r="D1413" s="43">
        <f ca="1">WORKDAY(Inputs!$B$3, ROUND(C1413, 0),Sheet2!$A$2:$A$21)</f>
        <v>46268</v>
      </c>
    </row>
    <row r="1414" spans="1:4" x14ac:dyDescent="0.25">
      <c r="A1414" s="42">
        <f t="shared" si="24"/>
        <v>1413</v>
      </c>
      <c r="B1414" s="42" cm="1">
        <f t="array" aca="1" ref="B1414" ca="1">INDEX(Historical!$A$1:$A$18, RANDBETWEEN(1, COUNTA(Historical!$A$1:$A$18)))</f>
        <v>1.2941176470588236</v>
      </c>
      <c r="C1414" s="42">
        <f ca="1">Inputs!$B$2/B1414</f>
        <v>173.09090909090909</v>
      </c>
      <c r="D1414" s="43">
        <f ca="1">WORKDAY(Inputs!$B$3, ROUND(C1414, 0),Sheet2!$A$2:$A$21)</f>
        <v>46269</v>
      </c>
    </row>
    <row r="1415" spans="1:4" x14ac:dyDescent="0.25">
      <c r="A1415" s="42">
        <f t="shared" si="24"/>
        <v>1414</v>
      </c>
      <c r="B1415" s="42" cm="1">
        <f t="array" aca="1" ref="B1415" ca="1">INDEX(Historical!$A$1:$A$18, RANDBETWEEN(1, COUNTA(Historical!$A$1:$A$18)))</f>
        <v>1.3707865168539326</v>
      </c>
      <c r="C1415" s="42">
        <f ca="1">Inputs!$B$2/B1415</f>
        <v>163.40983606557376</v>
      </c>
      <c r="D1415" s="43">
        <f ca="1">WORKDAY(Inputs!$B$3, ROUND(C1415, 0),Sheet2!$A$2:$A$21)</f>
        <v>46255</v>
      </c>
    </row>
    <row r="1416" spans="1:4" x14ac:dyDescent="0.25">
      <c r="A1416" s="42">
        <f t="shared" si="24"/>
        <v>1415</v>
      </c>
      <c r="B1416" s="42" cm="1">
        <f t="array" aca="1" ref="B1416" ca="1">INDEX(Historical!$A$1:$A$18, RANDBETWEEN(1, COUNTA(Historical!$A$1:$A$18)))</f>
        <v>1.3617021276595744</v>
      </c>
      <c r="C1416" s="42">
        <f ca="1">Inputs!$B$2/B1416</f>
        <v>164.5</v>
      </c>
      <c r="D1416" s="43">
        <f ca="1">WORKDAY(Inputs!$B$3, ROUND(C1416, 0),Sheet2!$A$2:$A$21)</f>
        <v>46259</v>
      </c>
    </row>
    <row r="1417" spans="1:4" x14ac:dyDescent="0.25">
      <c r="A1417" s="42">
        <f t="shared" si="24"/>
        <v>1416</v>
      </c>
      <c r="B1417" s="42" cm="1">
        <f t="array" aca="1" ref="B1417" ca="1">INDEX(Historical!$A$1:$A$18, RANDBETWEEN(1, COUNTA(Historical!$A$1:$A$18)))</f>
        <v>1.290909090909091</v>
      </c>
      <c r="C1417" s="42">
        <f ca="1">Inputs!$B$2/B1417</f>
        <v>173.52112676056336</v>
      </c>
      <c r="D1417" s="43">
        <f ca="1">WORKDAY(Inputs!$B$3, ROUND(C1417, 0),Sheet2!$A$2:$A$21)</f>
        <v>46273</v>
      </c>
    </row>
    <row r="1418" spans="1:4" x14ac:dyDescent="0.25">
      <c r="A1418" s="42">
        <f t="shared" si="24"/>
        <v>1417</v>
      </c>
      <c r="B1418" s="42" cm="1">
        <f t="array" aca="1" ref="B1418" ca="1">INDEX(Historical!$A$1:$A$18, RANDBETWEEN(1, COUNTA(Historical!$A$1:$A$18)))</f>
        <v>1.4761904761904763</v>
      </c>
      <c r="C1418" s="42">
        <f ca="1">Inputs!$B$2/B1418</f>
        <v>151.74193548387095</v>
      </c>
      <c r="D1418" s="43">
        <f ca="1">WORKDAY(Inputs!$B$3, ROUND(C1418, 0),Sheet2!$A$2:$A$21)</f>
        <v>46240</v>
      </c>
    </row>
    <row r="1419" spans="1:4" x14ac:dyDescent="0.25">
      <c r="A1419" s="42">
        <f t="shared" si="24"/>
        <v>1418</v>
      </c>
      <c r="B1419" s="42" cm="1">
        <f t="array" aca="1" ref="B1419" ca="1">INDEX(Historical!$A$1:$A$18, RANDBETWEEN(1, COUNTA(Historical!$A$1:$A$18)))</f>
        <v>1.3617021276595744</v>
      </c>
      <c r="C1419" s="42">
        <f ca="1">Inputs!$B$2/B1419</f>
        <v>164.5</v>
      </c>
      <c r="D1419" s="43">
        <f ca="1">WORKDAY(Inputs!$B$3, ROUND(C1419, 0),Sheet2!$A$2:$A$21)</f>
        <v>46259</v>
      </c>
    </row>
    <row r="1420" spans="1:4" x14ac:dyDescent="0.25">
      <c r="A1420" s="42">
        <f t="shared" si="24"/>
        <v>1419</v>
      </c>
      <c r="B1420" s="42" cm="1">
        <f t="array" aca="1" ref="B1420" ca="1">INDEX(Historical!$A$1:$A$18, RANDBETWEEN(1, COUNTA(Historical!$A$1:$A$18)))</f>
        <v>1.3692307692307693</v>
      </c>
      <c r="C1420" s="42">
        <f ca="1">Inputs!$B$2/B1420</f>
        <v>163.59550561797752</v>
      </c>
      <c r="D1420" s="43">
        <f ca="1">WORKDAY(Inputs!$B$3, ROUND(C1420, 0),Sheet2!$A$2:$A$21)</f>
        <v>46258</v>
      </c>
    </row>
    <row r="1421" spans="1:4" x14ac:dyDescent="0.25">
      <c r="A1421" s="42">
        <f t="shared" si="24"/>
        <v>1420</v>
      </c>
      <c r="B1421" s="42" cm="1">
        <f t="array" aca="1" ref="B1421" ca="1">INDEX(Historical!$A$1:$A$18, RANDBETWEEN(1, COUNTA(Historical!$A$1:$A$18)))</f>
        <v>1.1666666666666667</v>
      </c>
      <c r="C1421" s="42">
        <f ca="1">Inputs!$B$2/B1421</f>
        <v>192</v>
      </c>
      <c r="D1421" s="43">
        <f ca="1">WORKDAY(Inputs!$B$3, ROUND(C1421, 0),Sheet2!$A$2:$A$21)</f>
        <v>46297</v>
      </c>
    </row>
    <row r="1422" spans="1:4" x14ac:dyDescent="0.25">
      <c r="A1422" s="42">
        <f t="shared" si="24"/>
        <v>1421</v>
      </c>
      <c r="B1422" s="42" cm="1">
        <f t="array" aca="1" ref="B1422" ca="1">INDEX(Historical!$A$1:$A$18, RANDBETWEEN(1, COUNTA(Historical!$A$1:$A$18)))</f>
        <v>1.4761904761904763</v>
      </c>
      <c r="C1422" s="42">
        <f ca="1">Inputs!$B$2/B1422</f>
        <v>151.74193548387095</v>
      </c>
      <c r="D1422" s="43">
        <f ca="1">WORKDAY(Inputs!$B$3, ROUND(C1422, 0),Sheet2!$A$2:$A$21)</f>
        <v>46240</v>
      </c>
    </row>
    <row r="1423" spans="1:4" x14ac:dyDescent="0.25">
      <c r="A1423" s="42">
        <f t="shared" si="24"/>
        <v>1422</v>
      </c>
      <c r="B1423" s="42" cm="1">
        <f t="array" aca="1" ref="B1423" ca="1">INDEX(Historical!$A$1:$A$18, RANDBETWEEN(1, COUNTA(Historical!$A$1:$A$18)))</f>
        <v>1.5</v>
      </c>
      <c r="C1423" s="42">
        <f ca="1">Inputs!$B$2/B1423</f>
        <v>149.33333333333334</v>
      </c>
      <c r="D1423" s="43">
        <f ca="1">WORKDAY(Inputs!$B$3, ROUND(C1423, 0),Sheet2!$A$2:$A$21)</f>
        <v>46237</v>
      </c>
    </row>
    <row r="1424" spans="1:4" x14ac:dyDescent="0.25">
      <c r="A1424" s="42">
        <f t="shared" si="24"/>
        <v>1423</v>
      </c>
      <c r="B1424" s="42" cm="1">
        <f t="array" aca="1" ref="B1424" ca="1">INDEX(Historical!$A$1:$A$18, RANDBETWEEN(1, COUNTA(Historical!$A$1:$A$18)))</f>
        <v>1.3214285714285714</v>
      </c>
      <c r="C1424" s="42">
        <f ca="1">Inputs!$B$2/B1424</f>
        <v>169.51351351351352</v>
      </c>
      <c r="D1424" s="43">
        <f ca="1">WORKDAY(Inputs!$B$3, ROUND(C1424, 0),Sheet2!$A$2:$A$21)</f>
        <v>46266</v>
      </c>
    </row>
    <row r="1425" spans="1:4" x14ac:dyDescent="0.25">
      <c r="A1425" s="42">
        <f t="shared" si="24"/>
        <v>1424</v>
      </c>
      <c r="B1425" s="42" cm="1">
        <f t="array" aca="1" ref="B1425" ca="1">INDEX(Historical!$A$1:$A$18, RANDBETWEEN(1, COUNTA(Historical!$A$1:$A$18)))</f>
        <v>1.290909090909091</v>
      </c>
      <c r="C1425" s="42">
        <f ca="1">Inputs!$B$2/B1425</f>
        <v>173.52112676056336</v>
      </c>
      <c r="D1425" s="43">
        <f ca="1">WORKDAY(Inputs!$B$3, ROUND(C1425, 0),Sheet2!$A$2:$A$21)</f>
        <v>46273</v>
      </c>
    </row>
    <row r="1426" spans="1:4" x14ac:dyDescent="0.25">
      <c r="A1426" s="42">
        <f t="shared" si="24"/>
        <v>1425</v>
      </c>
      <c r="B1426" s="42" cm="1">
        <f t="array" aca="1" ref="B1426" ca="1">INDEX(Historical!$A$1:$A$18, RANDBETWEEN(1, COUNTA(Historical!$A$1:$A$18)))</f>
        <v>1.5</v>
      </c>
      <c r="C1426" s="42">
        <f ca="1">Inputs!$B$2/B1426</f>
        <v>149.33333333333334</v>
      </c>
      <c r="D1426" s="43">
        <f ca="1">WORKDAY(Inputs!$B$3, ROUND(C1426, 0),Sheet2!$A$2:$A$21)</f>
        <v>46237</v>
      </c>
    </row>
    <row r="1427" spans="1:4" x14ac:dyDescent="0.25">
      <c r="A1427" s="42">
        <f t="shared" si="24"/>
        <v>1426</v>
      </c>
      <c r="B1427" s="42" cm="1">
        <f t="array" aca="1" ref="B1427" ca="1">INDEX(Historical!$A$1:$A$18, RANDBETWEEN(1, COUNTA(Historical!$A$1:$A$18)))</f>
        <v>1.368421052631579</v>
      </c>
      <c r="C1427" s="42">
        <f ca="1">Inputs!$B$2/B1427</f>
        <v>163.69230769230768</v>
      </c>
      <c r="D1427" s="43">
        <f ca="1">WORKDAY(Inputs!$B$3, ROUND(C1427, 0),Sheet2!$A$2:$A$21)</f>
        <v>46258</v>
      </c>
    </row>
    <row r="1428" spans="1:4" x14ac:dyDescent="0.25">
      <c r="A1428" s="42">
        <f t="shared" si="24"/>
        <v>1427</v>
      </c>
      <c r="B1428" s="42" cm="1">
        <f t="array" aca="1" ref="B1428" ca="1">INDEX(Historical!$A$1:$A$18, RANDBETWEEN(1, COUNTA(Historical!$A$1:$A$18)))</f>
        <v>1.3611111111111112</v>
      </c>
      <c r="C1428" s="42">
        <f ca="1">Inputs!$B$2/B1428</f>
        <v>164.57142857142856</v>
      </c>
      <c r="D1428" s="43">
        <f ca="1">WORKDAY(Inputs!$B$3, ROUND(C1428, 0),Sheet2!$A$2:$A$21)</f>
        <v>46259</v>
      </c>
    </row>
    <row r="1429" spans="1:4" x14ac:dyDescent="0.25">
      <c r="A1429" s="42">
        <f t="shared" si="24"/>
        <v>1428</v>
      </c>
      <c r="B1429" s="42" cm="1">
        <f t="array" aca="1" ref="B1429" ca="1">INDEX(Historical!$A$1:$A$18, RANDBETWEEN(1, COUNTA(Historical!$A$1:$A$18)))</f>
        <v>1.4347826086956521</v>
      </c>
      <c r="C1429" s="42">
        <f ca="1">Inputs!$B$2/B1429</f>
        <v>156.12121212121212</v>
      </c>
      <c r="D1429" s="43">
        <f ca="1">WORKDAY(Inputs!$B$3, ROUND(C1429, 0),Sheet2!$A$2:$A$21)</f>
        <v>46246</v>
      </c>
    </row>
    <row r="1430" spans="1:4" x14ac:dyDescent="0.25">
      <c r="A1430" s="42">
        <f t="shared" si="24"/>
        <v>1429</v>
      </c>
      <c r="B1430" s="42" cm="1">
        <f t="array" aca="1" ref="B1430" ca="1">INDEX(Historical!$A$1:$A$18, RANDBETWEEN(1, COUNTA(Historical!$A$1:$A$18)))</f>
        <v>1.3692307692307693</v>
      </c>
      <c r="C1430" s="42">
        <f ca="1">Inputs!$B$2/B1430</f>
        <v>163.59550561797752</v>
      </c>
      <c r="D1430" s="43">
        <f ca="1">WORKDAY(Inputs!$B$3, ROUND(C1430, 0),Sheet2!$A$2:$A$21)</f>
        <v>46258</v>
      </c>
    </row>
    <row r="1431" spans="1:4" x14ac:dyDescent="0.25">
      <c r="A1431" s="42">
        <f t="shared" si="24"/>
        <v>1430</v>
      </c>
      <c r="B1431" s="42" cm="1">
        <f t="array" aca="1" ref="B1431" ca="1">INDEX(Historical!$A$1:$A$18, RANDBETWEEN(1, COUNTA(Historical!$A$1:$A$18)))</f>
        <v>1.2941176470588236</v>
      </c>
      <c r="C1431" s="42">
        <f ca="1">Inputs!$B$2/B1431</f>
        <v>173.09090909090909</v>
      </c>
      <c r="D1431" s="43">
        <f ca="1">WORKDAY(Inputs!$B$3, ROUND(C1431, 0),Sheet2!$A$2:$A$21)</f>
        <v>46269</v>
      </c>
    </row>
    <row r="1432" spans="1:4" x14ac:dyDescent="0.25">
      <c r="A1432" s="42">
        <f t="shared" si="24"/>
        <v>1431</v>
      </c>
      <c r="B1432" s="42" cm="1">
        <f t="array" aca="1" ref="B1432" ca="1">INDEX(Historical!$A$1:$A$18, RANDBETWEEN(1, COUNTA(Historical!$A$1:$A$18)))</f>
        <v>1.3214285714285714</v>
      </c>
      <c r="C1432" s="42">
        <f ca="1">Inputs!$B$2/B1432</f>
        <v>169.51351351351352</v>
      </c>
      <c r="D1432" s="43">
        <f ca="1">WORKDAY(Inputs!$B$3, ROUND(C1432, 0),Sheet2!$A$2:$A$21)</f>
        <v>46266</v>
      </c>
    </row>
    <row r="1433" spans="1:4" x14ac:dyDescent="0.25">
      <c r="A1433" s="42">
        <f t="shared" si="24"/>
        <v>1432</v>
      </c>
      <c r="B1433" s="42" cm="1">
        <f t="array" aca="1" ref="B1433" ca="1">INDEX(Historical!$A$1:$A$18, RANDBETWEEN(1, COUNTA(Historical!$A$1:$A$18)))</f>
        <v>1.3611111111111112</v>
      </c>
      <c r="C1433" s="42">
        <f ca="1">Inputs!$B$2/B1433</f>
        <v>164.57142857142856</v>
      </c>
      <c r="D1433" s="43">
        <f ca="1">WORKDAY(Inputs!$B$3, ROUND(C1433, 0),Sheet2!$A$2:$A$21)</f>
        <v>46259</v>
      </c>
    </row>
    <row r="1434" spans="1:4" x14ac:dyDescent="0.25">
      <c r="A1434" s="42">
        <f t="shared" si="24"/>
        <v>1433</v>
      </c>
      <c r="B1434" s="42" cm="1">
        <f t="array" aca="1" ref="B1434" ca="1">INDEX(Historical!$A$1:$A$18, RANDBETWEEN(1, COUNTA(Historical!$A$1:$A$18)))</f>
        <v>1.3214285714285714</v>
      </c>
      <c r="C1434" s="42">
        <f ca="1">Inputs!$B$2/B1434</f>
        <v>169.51351351351352</v>
      </c>
      <c r="D1434" s="43">
        <f ca="1">WORKDAY(Inputs!$B$3, ROUND(C1434, 0),Sheet2!$A$2:$A$21)</f>
        <v>46266</v>
      </c>
    </row>
    <row r="1435" spans="1:4" x14ac:dyDescent="0.25">
      <c r="A1435" s="42">
        <f t="shared" si="24"/>
        <v>1434</v>
      </c>
      <c r="B1435" s="42" cm="1">
        <f t="array" aca="1" ref="B1435" ca="1">INDEX(Historical!$A$1:$A$18, RANDBETWEEN(1, COUNTA(Historical!$A$1:$A$18)))</f>
        <v>1.2941176470588236</v>
      </c>
      <c r="C1435" s="42">
        <f ca="1">Inputs!$B$2/B1435</f>
        <v>173.09090909090909</v>
      </c>
      <c r="D1435" s="43">
        <f ca="1">WORKDAY(Inputs!$B$3, ROUND(C1435, 0),Sheet2!$A$2:$A$21)</f>
        <v>46269</v>
      </c>
    </row>
    <row r="1436" spans="1:4" x14ac:dyDescent="0.25">
      <c r="A1436" s="42">
        <f t="shared" si="24"/>
        <v>1435</v>
      </c>
      <c r="B1436" s="42" cm="1">
        <f t="array" aca="1" ref="B1436" ca="1">INDEX(Historical!$A$1:$A$18, RANDBETWEEN(1, COUNTA(Historical!$A$1:$A$18)))</f>
        <v>1.303030303030303</v>
      </c>
      <c r="C1436" s="42">
        <f ca="1">Inputs!$B$2/B1436</f>
        <v>171.90697674418604</v>
      </c>
      <c r="D1436" s="43">
        <f ca="1">WORKDAY(Inputs!$B$3, ROUND(C1436, 0),Sheet2!$A$2:$A$21)</f>
        <v>46268</v>
      </c>
    </row>
    <row r="1437" spans="1:4" x14ac:dyDescent="0.25">
      <c r="A1437" s="42">
        <f t="shared" si="24"/>
        <v>1436</v>
      </c>
      <c r="B1437" s="42" cm="1">
        <f t="array" aca="1" ref="B1437" ca="1">INDEX(Historical!$A$1:$A$18, RANDBETWEEN(1, COUNTA(Historical!$A$1:$A$18)))</f>
        <v>1.3707865168539326</v>
      </c>
      <c r="C1437" s="42">
        <f ca="1">Inputs!$B$2/B1437</f>
        <v>163.40983606557376</v>
      </c>
      <c r="D1437" s="43">
        <f ca="1">WORKDAY(Inputs!$B$3, ROUND(C1437, 0),Sheet2!$A$2:$A$21)</f>
        <v>46255</v>
      </c>
    </row>
    <row r="1438" spans="1:4" x14ac:dyDescent="0.25">
      <c r="A1438" s="42">
        <f t="shared" si="24"/>
        <v>1437</v>
      </c>
      <c r="B1438" s="42" cm="1">
        <f t="array" aca="1" ref="B1438" ca="1">INDEX(Historical!$A$1:$A$18, RANDBETWEEN(1, COUNTA(Historical!$A$1:$A$18)))</f>
        <v>1.4347826086956521</v>
      </c>
      <c r="C1438" s="42">
        <f ca="1">Inputs!$B$2/B1438</f>
        <v>156.12121212121212</v>
      </c>
      <c r="D1438" s="43">
        <f ca="1">WORKDAY(Inputs!$B$3, ROUND(C1438, 0),Sheet2!$A$2:$A$21)</f>
        <v>46246</v>
      </c>
    </row>
    <row r="1439" spans="1:4" x14ac:dyDescent="0.25">
      <c r="A1439" s="42">
        <f t="shared" si="24"/>
        <v>1438</v>
      </c>
      <c r="B1439" s="42" cm="1">
        <f t="array" aca="1" ref="B1439" ca="1">INDEX(Historical!$A$1:$A$18, RANDBETWEEN(1, COUNTA(Historical!$A$1:$A$18)))</f>
        <v>1.3707865168539326</v>
      </c>
      <c r="C1439" s="42">
        <f ca="1">Inputs!$B$2/B1439</f>
        <v>163.40983606557376</v>
      </c>
      <c r="D1439" s="43">
        <f ca="1">WORKDAY(Inputs!$B$3, ROUND(C1439, 0),Sheet2!$A$2:$A$21)</f>
        <v>46255</v>
      </c>
    </row>
    <row r="1440" spans="1:4" x14ac:dyDescent="0.25">
      <c r="A1440" s="42">
        <f t="shared" si="24"/>
        <v>1439</v>
      </c>
      <c r="B1440" s="42" cm="1">
        <f t="array" aca="1" ref="B1440" ca="1">INDEX(Historical!$A$1:$A$18, RANDBETWEEN(1, COUNTA(Historical!$A$1:$A$18)))</f>
        <v>1.3214285714285714</v>
      </c>
      <c r="C1440" s="42">
        <f ca="1">Inputs!$B$2/B1440</f>
        <v>169.51351351351352</v>
      </c>
      <c r="D1440" s="43">
        <f ca="1">WORKDAY(Inputs!$B$3, ROUND(C1440, 0),Sheet2!$A$2:$A$21)</f>
        <v>46266</v>
      </c>
    </row>
    <row r="1441" spans="1:4" x14ac:dyDescent="0.25">
      <c r="A1441" s="42">
        <f t="shared" si="24"/>
        <v>1440</v>
      </c>
      <c r="B1441" s="42" cm="1">
        <f t="array" aca="1" ref="B1441" ca="1">INDEX(Historical!$A$1:$A$18, RANDBETWEEN(1, COUNTA(Historical!$A$1:$A$18)))</f>
        <v>1.5</v>
      </c>
      <c r="C1441" s="42">
        <f ca="1">Inputs!$B$2/B1441</f>
        <v>149.33333333333334</v>
      </c>
      <c r="D1441" s="43">
        <f ca="1">WORKDAY(Inputs!$B$3, ROUND(C1441, 0),Sheet2!$A$2:$A$21)</f>
        <v>46237</v>
      </c>
    </row>
    <row r="1442" spans="1:4" x14ac:dyDescent="0.25">
      <c r="A1442" s="42">
        <f t="shared" si="24"/>
        <v>1441</v>
      </c>
      <c r="B1442" s="42" cm="1">
        <f t="array" aca="1" ref="B1442" ca="1">INDEX(Historical!$A$1:$A$18, RANDBETWEEN(1, COUNTA(Historical!$A$1:$A$18)))</f>
        <v>1.4137931034482758</v>
      </c>
      <c r="C1442" s="42">
        <f ca="1">Inputs!$B$2/B1442</f>
        <v>158.4390243902439</v>
      </c>
      <c r="D1442" s="43">
        <f ca="1">WORKDAY(Inputs!$B$3, ROUND(C1442, 0),Sheet2!$A$2:$A$21)</f>
        <v>46248</v>
      </c>
    </row>
    <row r="1443" spans="1:4" x14ac:dyDescent="0.25">
      <c r="A1443" s="42">
        <f t="shared" si="24"/>
        <v>1442</v>
      </c>
      <c r="B1443" s="42" cm="1">
        <f t="array" aca="1" ref="B1443" ca="1">INDEX(Historical!$A$1:$A$18, RANDBETWEEN(1, COUNTA(Historical!$A$1:$A$18)))</f>
        <v>1.290909090909091</v>
      </c>
      <c r="C1443" s="42">
        <f ca="1">Inputs!$B$2/B1443</f>
        <v>173.52112676056336</v>
      </c>
      <c r="D1443" s="43">
        <f ca="1">WORKDAY(Inputs!$B$3, ROUND(C1443, 0),Sheet2!$A$2:$A$21)</f>
        <v>46273</v>
      </c>
    </row>
    <row r="1444" spans="1:4" x14ac:dyDescent="0.25">
      <c r="A1444" s="42">
        <f t="shared" si="24"/>
        <v>1443</v>
      </c>
      <c r="B1444" s="42" cm="1">
        <f t="array" aca="1" ref="B1444" ca="1">INDEX(Historical!$A$1:$A$18, RANDBETWEEN(1, COUNTA(Historical!$A$1:$A$18)))</f>
        <v>1.1666666666666667</v>
      </c>
      <c r="C1444" s="42">
        <f ca="1">Inputs!$B$2/B1444</f>
        <v>192</v>
      </c>
      <c r="D1444" s="43">
        <f ca="1">WORKDAY(Inputs!$B$3, ROUND(C1444, 0),Sheet2!$A$2:$A$21)</f>
        <v>46297</v>
      </c>
    </row>
    <row r="1445" spans="1:4" x14ac:dyDescent="0.25">
      <c r="A1445" s="42">
        <f t="shared" si="24"/>
        <v>1444</v>
      </c>
      <c r="B1445" s="42" cm="1">
        <f t="array" aca="1" ref="B1445" ca="1">INDEX(Historical!$A$1:$A$18, RANDBETWEEN(1, COUNTA(Historical!$A$1:$A$18)))</f>
        <v>1.375</v>
      </c>
      <c r="C1445" s="42">
        <f ca="1">Inputs!$B$2/B1445</f>
        <v>162.90909090909091</v>
      </c>
      <c r="D1445" s="43">
        <f ca="1">WORKDAY(Inputs!$B$3, ROUND(C1445, 0),Sheet2!$A$2:$A$21)</f>
        <v>46255</v>
      </c>
    </row>
    <row r="1446" spans="1:4" x14ac:dyDescent="0.25">
      <c r="A1446" s="42">
        <f t="shared" si="24"/>
        <v>1445</v>
      </c>
      <c r="B1446" s="42" cm="1">
        <f t="array" aca="1" ref="B1446" ca="1">INDEX(Historical!$A$1:$A$18, RANDBETWEEN(1, COUNTA(Historical!$A$1:$A$18)))</f>
        <v>1.303030303030303</v>
      </c>
      <c r="C1446" s="42">
        <f ca="1">Inputs!$B$2/B1446</f>
        <v>171.90697674418604</v>
      </c>
      <c r="D1446" s="43">
        <f ca="1">WORKDAY(Inputs!$B$3, ROUND(C1446, 0),Sheet2!$A$2:$A$21)</f>
        <v>46268</v>
      </c>
    </row>
    <row r="1447" spans="1:4" x14ac:dyDescent="0.25">
      <c r="A1447" s="42">
        <f t="shared" si="24"/>
        <v>1446</v>
      </c>
      <c r="B1447" s="42" cm="1">
        <f t="array" aca="1" ref="B1447" ca="1">INDEX(Historical!$A$1:$A$18, RANDBETWEEN(1, COUNTA(Historical!$A$1:$A$18)))</f>
        <v>1.3214285714285714</v>
      </c>
      <c r="C1447" s="42">
        <f ca="1">Inputs!$B$2/B1447</f>
        <v>169.51351351351352</v>
      </c>
      <c r="D1447" s="43">
        <f ca="1">WORKDAY(Inputs!$B$3, ROUND(C1447, 0),Sheet2!$A$2:$A$21)</f>
        <v>46266</v>
      </c>
    </row>
    <row r="1448" spans="1:4" x14ac:dyDescent="0.25">
      <c r="A1448" s="42">
        <f t="shared" si="24"/>
        <v>1447</v>
      </c>
      <c r="B1448" s="42" cm="1">
        <f t="array" aca="1" ref="B1448" ca="1">INDEX(Historical!$A$1:$A$18, RANDBETWEEN(1, COUNTA(Historical!$A$1:$A$18)))</f>
        <v>1.4347826086956521</v>
      </c>
      <c r="C1448" s="42">
        <f ca="1">Inputs!$B$2/B1448</f>
        <v>156.12121212121212</v>
      </c>
      <c r="D1448" s="43">
        <f ca="1">WORKDAY(Inputs!$B$3, ROUND(C1448, 0),Sheet2!$A$2:$A$21)</f>
        <v>46246</v>
      </c>
    </row>
    <row r="1449" spans="1:4" x14ac:dyDescent="0.25">
      <c r="A1449" s="42">
        <f t="shared" si="24"/>
        <v>1448</v>
      </c>
      <c r="B1449" s="42" cm="1">
        <f t="array" aca="1" ref="B1449" ca="1">INDEX(Historical!$A$1:$A$18, RANDBETWEEN(1, COUNTA(Historical!$A$1:$A$18)))</f>
        <v>1.5</v>
      </c>
      <c r="C1449" s="42">
        <f ca="1">Inputs!$B$2/B1449</f>
        <v>149.33333333333334</v>
      </c>
      <c r="D1449" s="43">
        <f ca="1">WORKDAY(Inputs!$B$3, ROUND(C1449, 0),Sheet2!$A$2:$A$21)</f>
        <v>46237</v>
      </c>
    </row>
    <row r="1450" spans="1:4" x14ac:dyDescent="0.25">
      <c r="A1450" s="42">
        <f t="shared" si="24"/>
        <v>1449</v>
      </c>
      <c r="B1450" s="42" cm="1">
        <f t="array" aca="1" ref="B1450" ca="1">INDEX(Historical!$A$1:$A$18, RANDBETWEEN(1, COUNTA(Historical!$A$1:$A$18)))</f>
        <v>1.3617021276595744</v>
      </c>
      <c r="C1450" s="42">
        <f ca="1">Inputs!$B$2/B1450</f>
        <v>164.5</v>
      </c>
      <c r="D1450" s="43">
        <f ca="1">WORKDAY(Inputs!$B$3, ROUND(C1450, 0),Sheet2!$A$2:$A$21)</f>
        <v>46259</v>
      </c>
    </row>
    <row r="1451" spans="1:4" x14ac:dyDescent="0.25">
      <c r="A1451" s="42">
        <f t="shared" si="24"/>
        <v>1450</v>
      </c>
      <c r="B1451" s="42" cm="1">
        <f t="array" aca="1" ref="B1451" ca="1">INDEX(Historical!$A$1:$A$18, RANDBETWEEN(1, COUNTA(Historical!$A$1:$A$18)))</f>
        <v>1.303030303030303</v>
      </c>
      <c r="C1451" s="42">
        <f ca="1">Inputs!$B$2/B1451</f>
        <v>171.90697674418604</v>
      </c>
      <c r="D1451" s="43">
        <f ca="1">WORKDAY(Inputs!$B$3, ROUND(C1451, 0),Sheet2!$A$2:$A$21)</f>
        <v>46268</v>
      </c>
    </row>
    <row r="1452" spans="1:4" x14ac:dyDescent="0.25">
      <c r="A1452" s="42">
        <f t="shared" si="24"/>
        <v>1451</v>
      </c>
      <c r="B1452" s="42" cm="1">
        <f t="array" aca="1" ref="B1452" ca="1">INDEX(Historical!$A$1:$A$18, RANDBETWEEN(1, COUNTA(Historical!$A$1:$A$18)))</f>
        <v>1.3214285714285714</v>
      </c>
      <c r="C1452" s="42">
        <f ca="1">Inputs!$B$2/B1452</f>
        <v>169.51351351351352</v>
      </c>
      <c r="D1452" s="43">
        <f ca="1">WORKDAY(Inputs!$B$3, ROUND(C1452, 0),Sheet2!$A$2:$A$21)</f>
        <v>46266</v>
      </c>
    </row>
    <row r="1453" spans="1:4" x14ac:dyDescent="0.25">
      <c r="A1453" s="42">
        <f t="shared" si="24"/>
        <v>1452</v>
      </c>
      <c r="B1453" s="42" cm="1">
        <f t="array" aca="1" ref="B1453" ca="1">INDEX(Historical!$A$1:$A$18, RANDBETWEEN(1, COUNTA(Historical!$A$1:$A$18)))</f>
        <v>1.3611111111111112</v>
      </c>
      <c r="C1453" s="42">
        <f ca="1">Inputs!$B$2/B1453</f>
        <v>164.57142857142856</v>
      </c>
      <c r="D1453" s="43">
        <f ca="1">WORKDAY(Inputs!$B$3, ROUND(C1453, 0),Sheet2!$A$2:$A$21)</f>
        <v>46259</v>
      </c>
    </row>
    <row r="1454" spans="1:4" x14ac:dyDescent="0.25">
      <c r="A1454" s="42">
        <f t="shared" si="24"/>
        <v>1453</v>
      </c>
      <c r="B1454" s="42" cm="1">
        <f t="array" aca="1" ref="B1454" ca="1">INDEX(Historical!$A$1:$A$18, RANDBETWEEN(1, COUNTA(Historical!$A$1:$A$18)))</f>
        <v>1.4038461538461537</v>
      </c>
      <c r="C1454" s="42">
        <f ca="1">Inputs!$B$2/B1454</f>
        <v>159.56164383561645</v>
      </c>
      <c r="D1454" s="43">
        <f ca="1">WORKDAY(Inputs!$B$3, ROUND(C1454, 0),Sheet2!$A$2:$A$21)</f>
        <v>46252</v>
      </c>
    </row>
    <row r="1455" spans="1:4" x14ac:dyDescent="0.25">
      <c r="A1455" s="42">
        <f t="shared" si="24"/>
        <v>1454</v>
      </c>
      <c r="B1455" s="42" cm="1">
        <f t="array" aca="1" ref="B1455" ca="1">INDEX(Historical!$A$1:$A$18, RANDBETWEEN(1, COUNTA(Historical!$A$1:$A$18)))</f>
        <v>1.375</v>
      </c>
      <c r="C1455" s="42">
        <f ca="1">Inputs!$B$2/B1455</f>
        <v>162.90909090909091</v>
      </c>
      <c r="D1455" s="43">
        <f ca="1">WORKDAY(Inputs!$B$3, ROUND(C1455, 0),Sheet2!$A$2:$A$21)</f>
        <v>46255</v>
      </c>
    </row>
    <row r="1456" spans="1:4" x14ac:dyDescent="0.25">
      <c r="A1456" s="42">
        <f t="shared" si="24"/>
        <v>1455</v>
      </c>
      <c r="B1456" s="42" cm="1">
        <f t="array" aca="1" ref="B1456" ca="1">INDEX(Historical!$A$1:$A$18, RANDBETWEEN(1, COUNTA(Historical!$A$1:$A$18)))</f>
        <v>1.3157894736842106</v>
      </c>
      <c r="C1456" s="42">
        <f ca="1">Inputs!$B$2/B1456</f>
        <v>170.23999999999998</v>
      </c>
      <c r="D1456" s="43">
        <f ca="1">WORKDAY(Inputs!$B$3, ROUND(C1456, 0),Sheet2!$A$2:$A$21)</f>
        <v>46266</v>
      </c>
    </row>
    <row r="1457" spans="1:4" x14ac:dyDescent="0.25">
      <c r="A1457" s="42">
        <f t="shared" si="24"/>
        <v>1456</v>
      </c>
      <c r="B1457" s="42" cm="1">
        <f t="array" aca="1" ref="B1457" ca="1">INDEX(Historical!$A$1:$A$18, RANDBETWEEN(1, COUNTA(Historical!$A$1:$A$18)))</f>
        <v>1.3692307692307693</v>
      </c>
      <c r="C1457" s="42">
        <f ca="1">Inputs!$B$2/B1457</f>
        <v>163.59550561797752</v>
      </c>
      <c r="D1457" s="43">
        <f ca="1">WORKDAY(Inputs!$B$3, ROUND(C1457, 0),Sheet2!$A$2:$A$21)</f>
        <v>46258</v>
      </c>
    </row>
    <row r="1458" spans="1:4" x14ac:dyDescent="0.25">
      <c r="A1458" s="42">
        <f t="shared" si="24"/>
        <v>1457</v>
      </c>
      <c r="B1458" s="42" cm="1">
        <f t="array" aca="1" ref="B1458" ca="1">INDEX(Historical!$A$1:$A$18, RANDBETWEEN(1, COUNTA(Historical!$A$1:$A$18)))</f>
        <v>1.3157894736842106</v>
      </c>
      <c r="C1458" s="42">
        <f ca="1">Inputs!$B$2/B1458</f>
        <v>170.23999999999998</v>
      </c>
      <c r="D1458" s="43">
        <f ca="1">WORKDAY(Inputs!$B$3, ROUND(C1458, 0),Sheet2!$A$2:$A$21)</f>
        <v>46266</v>
      </c>
    </row>
    <row r="1459" spans="1:4" x14ac:dyDescent="0.25">
      <c r="A1459" s="42">
        <f t="shared" si="24"/>
        <v>1458</v>
      </c>
      <c r="B1459" s="42" cm="1">
        <f t="array" aca="1" ref="B1459" ca="1">INDEX(Historical!$A$1:$A$18, RANDBETWEEN(1, COUNTA(Historical!$A$1:$A$18)))</f>
        <v>1.3617021276595744</v>
      </c>
      <c r="C1459" s="42">
        <f ca="1">Inputs!$B$2/B1459</f>
        <v>164.5</v>
      </c>
      <c r="D1459" s="43">
        <f ca="1">WORKDAY(Inputs!$B$3, ROUND(C1459, 0),Sheet2!$A$2:$A$21)</f>
        <v>46259</v>
      </c>
    </row>
    <row r="1460" spans="1:4" x14ac:dyDescent="0.25">
      <c r="A1460" s="42">
        <f t="shared" si="24"/>
        <v>1459</v>
      </c>
      <c r="B1460" s="42" cm="1">
        <f t="array" aca="1" ref="B1460" ca="1">INDEX(Historical!$A$1:$A$18, RANDBETWEEN(1, COUNTA(Historical!$A$1:$A$18)))</f>
        <v>1.3611111111111112</v>
      </c>
      <c r="C1460" s="42">
        <f ca="1">Inputs!$B$2/B1460</f>
        <v>164.57142857142856</v>
      </c>
      <c r="D1460" s="43">
        <f ca="1">WORKDAY(Inputs!$B$3, ROUND(C1460, 0),Sheet2!$A$2:$A$21)</f>
        <v>46259</v>
      </c>
    </row>
    <row r="1461" spans="1:4" x14ac:dyDescent="0.25">
      <c r="A1461" s="42">
        <f t="shared" si="24"/>
        <v>1460</v>
      </c>
      <c r="B1461" s="42" cm="1">
        <f t="array" aca="1" ref="B1461" ca="1">INDEX(Historical!$A$1:$A$18, RANDBETWEEN(1, COUNTA(Historical!$A$1:$A$18)))</f>
        <v>1.4137931034482758</v>
      </c>
      <c r="C1461" s="42">
        <f ca="1">Inputs!$B$2/B1461</f>
        <v>158.4390243902439</v>
      </c>
      <c r="D1461" s="43">
        <f ca="1">WORKDAY(Inputs!$B$3, ROUND(C1461, 0),Sheet2!$A$2:$A$21)</f>
        <v>46248</v>
      </c>
    </row>
    <row r="1462" spans="1:4" x14ac:dyDescent="0.25">
      <c r="A1462" s="42">
        <f t="shared" si="24"/>
        <v>1461</v>
      </c>
      <c r="B1462" s="42" cm="1">
        <f t="array" aca="1" ref="B1462" ca="1">INDEX(Historical!$A$1:$A$18, RANDBETWEEN(1, COUNTA(Historical!$A$1:$A$18)))</f>
        <v>1.1666666666666667</v>
      </c>
      <c r="C1462" s="42">
        <f ca="1">Inputs!$B$2/B1462</f>
        <v>192</v>
      </c>
      <c r="D1462" s="43">
        <f ca="1">WORKDAY(Inputs!$B$3, ROUND(C1462, 0),Sheet2!$A$2:$A$21)</f>
        <v>46297</v>
      </c>
    </row>
    <row r="1463" spans="1:4" x14ac:dyDescent="0.25">
      <c r="A1463" s="42">
        <f t="shared" si="24"/>
        <v>1462</v>
      </c>
      <c r="B1463" s="42" cm="1">
        <f t="array" aca="1" ref="B1463" ca="1">INDEX(Historical!$A$1:$A$18, RANDBETWEEN(1, COUNTA(Historical!$A$1:$A$18)))</f>
        <v>1.303030303030303</v>
      </c>
      <c r="C1463" s="42">
        <f ca="1">Inputs!$B$2/B1463</f>
        <v>171.90697674418604</v>
      </c>
      <c r="D1463" s="43">
        <f ca="1">WORKDAY(Inputs!$B$3, ROUND(C1463, 0),Sheet2!$A$2:$A$21)</f>
        <v>46268</v>
      </c>
    </row>
    <row r="1464" spans="1:4" x14ac:dyDescent="0.25">
      <c r="A1464" s="42">
        <f t="shared" si="24"/>
        <v>1463</v>
      </c>
      <c r="B1464" s="42" cm="1">
        <f t="array" aca="1" ref="B1464" ca="1">INDEX(Historical!$A$1:$A$18, RANDBETWEEN(1, COUNTA(Historical!$A$1:$A$18)))</f>
        <v>1.1666666666666667</v>
      </c>
      <c r="C1464" s="42">
        <f ca="1">Inputs!$B$2/B1464</f>
        <v>192</v>
      </c>
      <c r="D1464" s="43">
        <f ca="1">WORKDAY(Inputs!$B$3, ROUND(C1464, 0),Sheet2!$A$2:$A$21)</f>
        <v>46297</v>
      </c>
    </row>
    <row r="1465" spans="1:4" x14ac:dyDescent="0.25">
      <c r="A1465" s="42">
        <f t="shared" si="24"/>
        <v>1464</v>
      </c>
      <c r="B1465" s="42" cm="1">
        <f t="array" aca="1" ref="B1465" ca="1">INDEX(Historical!$A$1:$A$18, RANDBETWEEN(1, COUNTA(Historical!$A$1:$A$18)))</f>
        <v>1.2941176470588236</v>
      </c>
      <c r="C1465" s="42">
        <f ca="1">Inputs!$B$2/B1465</f>
        <v>173.09090909090909</v>
      </c>
      <c r="D1465" s="43">
        <f ca="1">WORKDAY(Inputs!$B$3, ROUND(C1465, 0),Sheet2!$A$2:$A$21)</f>
        <v>46269</v>
      </c>
    </row>
    <row r="1466" spans="1:4" x14ac:dyDescent="0.25">
      <c r="A1466" s="42">
        <f t="shared" si="24"/>
        <v>1465</v>
      </c>
      <c r="B1466" s="42" cm="1">
        <f t="array" aca="1" ref="B1466" ca="1">INDEX(Historical!$A$1:$A$18, RANDBETWEEN(1, COUNTA(Historical!$A$1:$A$18)))</f>
        <v>1.1666666666666667</v>
      </c>
      <c r="C1466" s="42">
        <f ca="1">Inputs!$B$2/B1466</f>
        <v>192</v>
      </c>
      <c r="D1466" s="43">
        <f ca="1">WORKDAY(Inputs!$B$3, ROUND(C1466, 0),Sheet2!$A$2:$A$21)</f>
        <v>46297</v>
      </c>
    </row>
    <row r="1467" spans="1:4" x14ac:dyDescent="0.25">
      <c r="A1467" s="42">
        <f t="shared" si="24"/>
        <v>1466</v>
      </c>
      <c r="B1467" s="42" cm="1">
        <f t="array" aca="1" ref="B1467" ca="1">INDEX(Historical!$A$1:$A$18, RANDBETWEEN(1, COUNTA(Historical!$A$1:$A$18)))</f>
        <v>1.3611111111111112</v>
      </c>
      <c r="C1467" s="42">
        <f ca="1">Inputs!$B$2/B1467</f>
        <v>164.57142857142856</v>
      </c>
      <c r="D1467" s="43">
        <f ca="1">WORKDAY(Inputs!$B$3, ROUND(C1467, 0),Sheet2!$A$2:$A$21)</f>
        <v>46259</v>
      </c>
    </row>
    <row r="1468" spans="1:4" x14ac:dyDescent="0.25">
      <c r="A1468" s="42">
        <f t="shared" si="24"/>
        <v>1467</v>
      </c>
      <c r="B1468" s="42" cm="1">
        <f t="array" aca="1" ref="B1468" ca="1">INDEX(Historical!$A$1:$A$18, RANDBETWEEN(1, COUNTA(Historical!$A$1:$A$18)))</f>
        <v>1.4347826086956521</v>
      </c>
      <c r="C1468" s="42">
        <f ca="1">Inputs!$B$2/B1468</f>
        <v>156.12121212121212</v>
      </c>
      <c r="D1468" s="43">
        <f ca="1">WORKDAY(Inputs!$B$3, ROUND(C1468, 0),Sheet2!$A$2:$A$21)</f>
        <v>46246</v>
      </c>
    </row>
    <row r="1469" spans="1:4" x14ac:dyDescent="0.25">
      <c r="A1469" s="42">
        <f t="shared" si="24"/>
        <v>1468</v>
      </c>
      <c r="B1469" s="42" cm="1">
        <f t="array" aca="1" ref="B1469" ca="1">INDEX(Historical!$A$1:$A$18, RANDBETWEEN(1, COUNTA(Historical!$A$1:$A$18)))</f>
        <v>1.3157894736842106</v>
      </c>
      <c r="C1469" s="42">
        <f ca="1">Inputs!$B$2/B1469</f>
        <v>170.23999999999998</v>
      </c>
      <c r="D1469" s="43">
        <f ca="1">WORKDAY(Inputs!$B$3, ROUND(C1469, 0),Sheet2!$A$2:$A$21)</f>
        <v>46266</v>
      </c>
    </row>
    <row r="1470" spans="1:4" x14ac:dyDescent="0.25">
      <c r="A1470" s="42">
        <f t="shared" si="24"/>
        <v>1469</v>
      </c>
      <c r="B1470" s="42" cm="1">
        <f t="array" aca="1" ref="B1470" ca="1">INDEX(Historical!$A$1:$A$18, RANDBETWEEN(1, COUNTA(Historical!$A$1:$A$18)))</f>
        <v>1.5</v>
      </c>
      <c r="C1470" s="42">
        <f ca="1">Inputs!$B$2/B1470</f>
        <v>149.33333333333334</v>
      </c>
      <c r="D1470" s="43">
        <f ca="1">WORKDAY(Inputs!$B$3, ROUND(C1470, 0),Sheet2!$A$2:$A$21)</f>
        <v>46237</v>
      </c>
    </row>
    <row r="1471" spans="1:4" x14ac:dyDescent="0.25">
      <c r="A1471" s="42">
        <f t="shared" si="24"/>
        <v>1470</v>
      </c>
      <c r="B1471" s="42" cm="1">
        <f t="array" aca="1" ref="B1471" ca="1">INDEX(Historical!$A$1:$A$18, RANDBETWEEN(1, COUNTA(Historical!$A$1:$A$18)))</f>
        <v>1.1666666666666667</v>
      </c>
      <c r="C1471" s="42">
        <f ca="1">Inputs!$B$2/B1471</f>
        <v>192</v>
      </c>
      <c r="D1471" s="43">
        <f ca="1">WORKDAY(Inputs!$B$3, ROUND(C1471, 0),Sheet2!$A$2:$A$21)</f>
        <v>46297</v>
      </c>
    </row>
    <row r="1472" spans="1:4" x14ac:dyDescent="0.25">
      <c r="A1472" s="42">
        <f t="shared" si="24"/>
        <v>1471</v>
      </c>
      <c r="B1472" s="42" cm="1">
        <f t="array" aca="1" ref="B1472" ca="1">INDEX(Historical!$A$1:$A$18, RANDBETWEEN(1, COUNTA(Historical!$A$1:$A$18)))</f>
        <v>1.368421052631579</v>
      </c>
      <c r="C1472" s="42">
        <f ca="1">Inputs!$B$2/B1472</f>
        <v>163.69230769230768</v>
      </c>
      <c r="D1472" s="43">
        <f ca="1">WORKDAY(Inputs!$B$3, ROUND(C1472, 0),Sheet2!$A$2:$A$21)</f>
        <v>46258</v>
      </c>
    </row>
    <row r="1473" spans="1:4" x14ac:dyDescent="0.25">
      <c r="A1473" s="42">
        <f t="shared" si="24"/>
        <v>1472</v>
      </c>
      <c r="B1473" s="42" cm="1">
        <f t="array" aca="1" ref="B1473" ca="1">INDEX(Historical!$A$1:$A$18, RANDBETWEEN(1, COUNTA(Historical!$A$1:$A$18)))</f>
        <v>1.5</v>
      </c>
      <c r="C1473" s="42">
        <f ca="1">Inputs!$B$2/B1473</f>
        <v>149.33333333333334</v>
      </c>
      <c r="D1473" s="43">
        <f ca="1">WORKDAY(Inputs!$B$3, ROUND(C1473, 0),Sheet2!$A$2:$A$21)</f>
        <v>46237</v>
      </c>
    </row>
    <row r="1474" spans="1:4" x14ac:dyDescent="0.25">
      <c r="A1474" s="42">
        <f t="shared" si="24"/>
        <v>1473</v>
      </c>
      <c r="B1474" s="42" cm="1">
        <f t="array" aca="1" ref="B1474" ca="1">INDEX(Historical!$A$1:$A$18, RANDBETWEEN(1, COUNTA(Historical!$A$1:$A$18)))</f>
        <v>1.290909090909091</v>
      </c>
      <c r="C1474" s="42">
        <f ca="1">Inputs!$B$2/B1474</f>
        <v>173.52112676056336</v>
      </c>
      <c r="D1474" s="43">
        <f ca="1">WORKDAY(Inputs!$B$3, ROUND(C1474, 0),Sheet2!$A$2:$A$21)</f>
        <v>46273</v>
      </c>
    </row>
    <row r="1475" spans="1:4" x14ac:dyDescent="0.25">
      <c r="A1475" s="42">
        <f t="shared" ref="A1475:A1538" si="25">ROW()-1</f>
        <v>1474</v>
      </c>
      <c r="B1475" s="42" cm="1">
        <f t="array" aca="1" ref="B1475" ca="1">INDEX(Historical!$A$1:$A$18, RANDBETWEEN(1, COUNTA(Historical!$A$1:$A$18)))</f>
        <v>1.3707865168539326</v>
      </c>
      <c r="C1475" s="42">
        <f ca="1">Inputs!$B$2/B1475</f>
        <v>163.40983606557376</v>
      </c>
      <c r="D1475" s="43">
        <f ca="1">WORKDAY(Inputs!$B$3, ROUND(C1475, 0),Sheet2!$A$2:$A$21)</f>
        <v>46255</v>
      </c>
    </row>
    <row r="1476" spans="1:4" x14ac:dyDescent="0.25">
      <c r="A1476" s="42">
        <f t="shared" si="25"/>
        <v>1475</v>
      </c>
      <c r="B1476" s="42" cm="1">
        <f t="array" aca="1" ref="B1476" ca="1">INDEX(Historical!$A$1:$A$18, RANDBETWEEN(1, COUNTA(Historical!$A$1:$A$18)))</f>
        <v>1.4038461538461537</v>
      </c>
      <c r="C1476" s="42">
        <f ca="1">Inputs!$B$2/B1476</f>
        <v>159.56164383561645</v>
      </c>
      <c r="D1476" s="43">
        <f ca="1">WORKDAY(Inputs!$B$3, ROUND(C1476, 0),Sheet2!$A$2:$A$21)</f>
        <v>46252</v>
      </c>
    </row>
    <row r="1477" spans="1:4" x14ac:dyDescent="0.25">
      <c r="A1477" s="42">
        <f t="shared" si="25"/>
        <v>1476</v>
      </c>
      <c r="B1477" s="42" cm="1">
        <f t="array" aca="1" ref="B1477" ca="1">INDEX(Historical!$A$1:$A$18, RANDBETWEEN(1, COUNTA(Historical!$A$1:$A$18)))</f>
        <v>1.303030303030303</v>
      </c>
      <c r="C1477" s="42">
        <f ca="1">Inputs!$B$2/B1477</f>
        <v>171.90697674418604</v>
      </c>
      <c r="D1477" s="43">
        <f ca="1">WORKDAY(Inputs!$B$3, ROUND(C1477, 0),Sheet2!$A$2:$A$21)</f>
        <v>46268</v>
      </c>
    </row>
    <row r="1478" spans="1:4" x14ac:dyDescent="0.25">
      <c r="A1478" s="42">
        <f t="shared" si="25"/>
        <v>1477</v>
      </c>
      <c r="B1478" s="42" cm="1">
        <f t="array" aca="1" ref="B1478" ca="1">INDEX(Historical!$A$1:$A$18, RANDBETWEEN(1, COUNTA(Historical!$A$1:$A$18)))</f>
        <v>1.3157894736842106</v>
      </c>
      <c r="C1478" s="42">
        <f ca="1">Inputs!$B$2/B1478</f>
        <v>170.23999999999998</v>
      </c>
      <c r="D1478" s="43">
        <f ca="1">WORKDAY(Inputs!$B$3, ROUND(C1478, 0),Sheet2!$A$2:$A$21)</f>
        <v>46266</v>
      </c>
    </row>
    <row r="1479" spans="1:4" x14ac:dyDescent="0.25">
      <c r="A1479" s="42">
        <f t="shared" si="25"/>
        <v>1478</v>
      </c>
      <c r="B1479" s="42" cm="1">
        <f t="array" aca="1" ref="B1479" ca="1">INDEX(Historical!$A$1:$A$18, RANDBETWEEN(1, COUNTA(Historical!$A$1:$A$18)))</f>
        <v>1.3157894736842106</v>
      </c>
      <c r="C1479" s="42">
        <f ca="1">Inputs!$B$2/B1479</f>
        <v>170.23999999999998</v>
      </c>
      <c r="D1479" s="43">
        <f ca="1">WORKDAY(Inputs!$B$3, ROUND(C1479, 0),Sheet2!$A$2:$A$21)</f>
        <v>46266</v>
      </c>
    </row>
    <row r="1480" spans="1:4" x14ac:dyDescent="0.25">
      <c r="A1480" s="42">
        <f t="shared" si="25"/>
        <v>1479</v>
      </c>
      <c r="B1480" s="42" cm="1">
        <f t="array" aca="1" ref="B1480" ca="1">INDEX(Historical!$A$1:$A$18, RANDBETWEEN(1, COUNTA(Historical!$A$1:$A$18)))</f>
        <v>1.3707865168539326</v>
      </c>
      <c r="C1480" s="42">
        <f ca="1">Inputs!$B$2/B1480</f>
        <v>163.40983606557376</v>
      </c>
      <c r="D1480" s="43">
        <f ca="1">WORKDAY(Inputs!$B$3, ROUND(C1480, 0),Sheet2!$A$2:$A$21)</f>
        <v>46255</v>
      </c>
    </row>
    <row r="1481" spans="1:4" x14ac:dyDescent="0.25">
      <c r="A1481" s="42">
        <f t="shared" si="25"/>
        <v>1480</v>
      </c>
      <c r="B1481" s="42" cm="1">
        <f t="array" aca="1" ref="B1481" ca="1">INDEX(Historical!$A$1:$A$18, RANDBETWEEN(1, COUNTA(Historical!$A$1:$A$18)))</f>
        <v>1.5</v>
      </c>
      <c r="C1481" s="42">
        <f ca="1">Inputs!$B$2/B1481</f>
        <v>149.33333333333334</v>
      </c>
      <c r="D1481" s="43">
        <f ca="1">WORKDAY(Inputs!$B$3, ROUND(C1481, 0),Sheet2!$A$2:$A$21)</f>
        <v>46237</v>
      </c>
    </row>
    <row r="1482" spans="1:4" x14ac:dyDescent="0.25">
      <c r="A1482" s="42">
        <f t="shared" si="25"/>
        <v>1481</v>
      </c>
      <c r="B1482" s="42" cm="1">
        <f t="array" aca="1" ref="B1482" ca="1">INDEX(Historical!$A$1:$A$18, RANDBETWEEN(1, COUNTA(Historical!$A$1:$A$18)))</f>
        <v>1.3707865168539326</v>
      </c>
      <c r="C1482" s="42">
        <f ca="1">Inputs!$B$2/B1482</f>
        <v>163.40983606557376</v>
      </c>
      <c r="D1482" s="43">
        <f ca="1">WORKDAY(Inputs!$B$3, ROUND(C1482, 0),Sheet2!$A$2:$A$21)</f>
        <v>46255</v>
      </c>
    </row>
    <row r="1483" spans="1:4" x14ac:dyDescent="0.25">
      <c r="A1483" s="42">
        <f t="shared" si="25"/>
        <v>1482</v>
      </c>
      <c r="B1483" s="42" cm="1">
        <f t="array" aca="1" ref="B1483" ca="1">INDEX(Historical!$A$1:$A$18, RANDBETWEEN(1, COUNTA(Historical!$A$1:$A$18)))</f>
        <v>1.3611111111111112</v>
      </c>
      <c r="C1483" s="42">
        <f ca="1">Inputs!$B$2/B1483</f>
        <v>164.57142857142856</v>
      </c>
      <c r="D1483" s="43">
        <f ca="1">WORKDAY(Inputs!$B$3, ROUND(C1483, 0),Sheet2!$A$2:$A$21)</f>
        <v>46259</v>
      </c>
    </row>
    <row r="1484" spans="1:4" x14ac:dyDescent="0.25">
      <c r="A1484" s="42">
        <f t="shared" si="25"/>
        <v>1483</v>
      </c>
      <c r="B1484" s="42" cm="1">
        <f t="array" aca="1" ref="B1484" ca="1">INDEX(Historical!$A$1:$A$18, RANDBETWEEN(1, COUNTA(Historical!$A$1:$A$18)))</f>
        <v>1.5</v>
      </c>
      <c r="C1484" s="42">
        <f ca="1">Inputs!$B$2/B1484</f>
        <v>149.33333333333334</v>
      </c>
      <c r="D1484" s="43">
        <f ca="1">WORKDAY(Inputs!$B$3, ROUND(C1484, 0),Sheet2!$A$2:$A$21)</f>
        <v>46237</v>
      </c>
    </row>
    <row r="1485" spans="1:4" x14ac:dyDescent="0.25">
      <c r="A1485" s="42">
        <f t="shared" si="25"/>
        <v>1484</v>
      </c>
      <c r="B1485" s="42" cm="1">
        <f t="array" aca="1" ref="B1485" ca="1">INDEX(Historical!$A$1:$A$18, RANDBETWEEN(1, COUNTA(Historical!$A$1:$A$18)))</f>
        <v>1.290909090909091</v>
      </c>
      <c r="C1485" s="42">
        <f ca="1">Inputs!$B$2/B1485</f>
        <v>173.52112676056336</v>
      </c>
      <c r="D1485" s="43">
        <f ca="1">WORKDAY(Inputs!$B$3, ROUND(C1485, 0),Sheet2!$A$2:$A$21)</f>
        <v>46273</v>
      </c>
    </row>
    <row r="1486" spans="1:4" x14ac:dyDescent="0.25">
      <c r="A1486" s="42">
        <f t="shared" si="25"/>
        <v>1485</v>
      </c>
      <c r="B1486" s="42" cm="1">
        <f t="array" aca="1" ref="B1486" ca="1">INDEX(Historical!$A$1:$A$18, RANDBETWEEN(1, COUNTA(Historical!$A$1:$A$18)))</f>
        <v>1.303030303030303</v>
      </c>
      <c r="C1486" s="42">
        <f ca="1">Inputs!$B$2/B1486</f>
        <v>171.90697674418604</v>
      </c>
      <c r="D1486" s="43">
        <f ca="1">WORKDAY(Inputs!$B$3, ROUND(C1486, 0),Sheet2!$A$2:$A$21)</f>
        <v>46268</v>
      </c>
    </row>
    <row r="1487" spans="1:4" x14ac:dyDescent="0.25">
      <c r="A1487" s="42">
        <f t="shared" si="25"/>
        <v>1486</v>
      </c>
      <c r="B1487" s="42" cm="1">
        <f t="array" aca="1" ref="B1487" ca="1">INDEX(Historical!$A$1:$A$18, RANDBETWEEN(1, COUNTA(Historical!$A$1:$A$18)))</f>
        <v>1.3559322033898304</v>
      </c>
      <c r="C1487" s="42">
        <f ca="1">Inputs!$B$2/B1487</f>
        <v>165.20000000000002</v>
      </c>
      <c r="D1487" s="43">
        <f ca="1">WORKDAY(Inputs!$B$3, ROUND(C1487, 0),Sheet2!$A$2:$A$21)</f>
        <v>46259</v>
      </c>
    </row>
    <row r="1488" spans="1:4" x14ac:dyDescent="0.25">
      <c r="A1488" s="42">
        <f t="shared" si="25"/>
        <v>1487</v>
      </c>
      <c r="B1488" s="42" cm="1">
        <f t="array" aca="1" ref="B1488" ca="1">INDEX(Historical!$A$1:$A$18, RANDBETWEEN(1, COUNTA(Historical!$A$1:$A$18)))</f>
        <v>1.5</v>
      </c>
      <c r="C1488" s="42">
        <f ca="1">Inputs!$B$2/B1488</f>
        <v>149.33333333333334</v>
      </c>
      <c r="D1488" s="43">
        <f ca="1">WORKDAY(Inputs!$B$3, ROUND(C1488, 0),Sheet2!$A$2:$A$21)</f>
        <v>46237</v>
      </c>
    </row>
    <row r="1489" spans="1:4" x14ac:dyDescent="0.25">
      <c r="A1489" s="42">
        <f t="shared" si="25"/>
        <v>1488</v>
      </c>
      <c r="B1489" s="42" cm="1">
        <f t="array" aca="1" ref="B1489" ca="1">INDEX(Historical!$A$1:$A$18, RANDBETWEEN(1, COUNTA(Historical!$A$1:$A$18)))</f>
        <v>1.3611111111111112</v>
      </c>
      <c r="C1489" s="42">
        <f ca="1">Inputs!$B$2/B1489</f>
        <v>164.57142857142856</v>
      </c>
      <c r="D1489" s="43">
        <f ca="1">WORKDAY(Inputs!$B$3, ROUND(C1489, 0),Sheet2!$A$2:$A$21)</f>
        <v>46259</v>
      </c>
    </row>
    <row r="1490" spans="1:4" x14ac:dyDescent="0.25">
      <c r="A1490" s="42">
        <f t="shared" si="25"/>
        <v>1489</v>
      </c>
      <c r="B1490" s="42" cm="1">
        <f t="array" aca="1" ref="B1490" ca="1">INDEX(Historical!$A$1:$A$18, RANDBETWEEN(1, COUNTA(Historical!$A$1:$A$18)))</f>
        <v>1.1666666666666667</v>
      </c>
      <c r="C1490" s="42">
        <f ca="1">Inputs!$B$2/B1490</f>
        <v>192</v>
      </c>
      <c r="D1490" s="43">
        <f ca="1">WORKDAY(Inputs!$B$3, ROUND(C1490, 0),Sheet2!$A$2:$A$21)</f>
        <v>46297</v>
      </c>
    </row>
    <row r="1491" spans="1:4" x14ac:dyDescent="0.25">
      <c r="A1491" s="42">
        <f t="shared" si="25"/>
        <v>1490</v>
      </c>
      <c r="B1491" s="42" cm="1">
        <f t="array" aca="1" ref="B1491" ca="1">INDEX(Historical!$A$1:$A$18, RANDBETWEEN(1, COUNTA(Historical!$A$1:$A$18)))</f>
        <v>1.3559322033898304</v>
      </c>
      <c r="C1491" s="42">
        <f ca="1">Inputs!$B$2/B1491</f>
        <v>165.20000000000002</v>
      </c>
      <c r="D1491" s="43">
        <f ca="1">WORKDAY(Inputs!$B$3, ROUND(C1491, 0),Sheet2!$A$2:$A$21)</f>
        <v>46259</v>
      </c>
    </row>
    <row r="1492" spans="1:4" x14ac:dyDescent="0.25">
      <c r="A1492" s="42">
        <f t="shared" si="25"/>
        <v>1491</v>
      </c>
      <c r="B1492" s="42" cm="1">
        <f t="array" aca="1" ref="B1492" ca="1">INDEX(Historical!$A$1:$A$18, RANDBETWEEN(1, COUNTA(Historical!$A$1:$A$18)))</f>
        <v>1.4137931034482758</v>
      </c>
      <c r="C1492" s="42">
        <f ca="1">Inputs!$B$2/B1492</f>
        <v>158.4390243902439</v>
      </c>
      <c r="D1492" s="43">
        <f ca="1">WORKDAY(Inputs!$B$3, ROUND(C1492, 0),Sheet2!$A$2:$A$21)</f>
        <v>46248</v>
      </c>
    </row>
    <row r="1493" spans="1:4" x14ac:dyDescent="0.25">
      <c r="A1493" s="42">
        <f t="shared" si="25"/>
        <v>1492</v>
      </c>
      <c r="B1493" s="42" cm="1">
        <f t="array" aca="1" ref="B1493" ca="1">INDEX(Historical!$A$1:$A$18, RANDBETWEEN(1, COUNTA(Historical!$A$1:$A$18)))</f>
        <v>1.375</v>
      </c>
      <c r="C1493" s="42">
        <f ca="1">Inputs!$B$2/B1493</f>
        <v>162.90909090909091</v>
      </c>
      <c r="D1493" s="43">
        <f ca="1">WORKDAY(Inputs!$B$3, ROUND(C1493, 0),Sheet2!$A$2:$A$21)</f>
        <v>46255</v>
      </c>
    </row>
    <row r="1494" spans="1:4" x14ac:dyDescent="0.25">
      <c r="A1494" s="42">
        <f t="shared" si="25"/>
        <v>1493</v>
      </c>
      <c r="B1494" s="42" cm="1">
        <f t="array" aca="1" ref="B1494" ca="1">INDEX(Historical!$A$1:$A$18, RANDBETWEEN(1, COUNTA(Historical!$A$1:$A$18)))</f>
        <v>1.4137931034482758</v>
      </c>
      <c r="C1494" s="42">
        <f ca="1">Inputs!$B$2/B1494</f>
        <v>158.4390243902439</v>
      </c>
      <c r="D1494" s="43">
        <f ca="1">WORKDAY(Inputs!$B$3, ROUND(C1494, 0),Sheet2!$A$2:$A$21)</f>
        <v>46248</v>
      </c>
    </row>
    <row r="1495" spans="1:4" x14ac:dyDescent="0.25">
      <c r="A1495" s="42">
        <f t="shared" si="25"/>
        <v>1494</v>
      </c>
      <c r="B1495" s="42" cm="1">
        <f t="array" aca="1" ref="B1495" ca="1">INDEX(Historical!$A$1:$A$18, RANDBETWEEN(1, COUNTA(Historical!$A$1:$A$18)))</f>
        <v>1.368421052631579</v>
      </c>
      <c r="C1495" s="42">
        <f ca="1">Inputs!$B$2/B1495</f>
        <v>163.69230769230768</v>
      </c>
      <c r="D1495" s="43">
        <f ca="1">WORKDAY(Inputs!$B$3, ROUND(C1495, 0),Sheet2!$A$2:$A$21)</f>
        <v>46258</v>
      </c>
    </row>
    <row r="1496" spans="1:4" x14ac:dyDescent="0.25">
      <c r="A1496" s="42">
        <f t="shared" si="25"/>
        <v>1495</v>
      </c>
      <c r="B1496" s="42" cm="1">
        <f t="array" aca="1" ref="B1496" ca="1">INDEX(Historical!$A$1:$A$18, RANDBETWEEN(1, COUNTA(Historical!$A$1:$A$18)))</f>
        <v>1.375</v>
      </c>
      <c r="C1496" s="42">
        <f ca="1">Inputs!$B$2/B1496</f>
        <v>162.90909090909091</v>
      </c>
      <c r="D1496" s="43">
        <f ca="1">WORKDAY(Inputs!$B$3, ROUND(C1496, 0),Sheet2!$A$2:$A$21)</f>
        <v>46255</v>
      </c>
    </row>
    <row r="1497" spans="1:4" x14ac:dyDescent="0.25">
      <c r="A1497" s="42">
        <f t="shared" si="25"/>
        <v>1496</v>
      </c>
      <c r="B1497" s="42" cm="1">
        <f t="array" aca="1" ref="B1497" ca="1">INDEX(Historical!$A$1:$A$18, RANDBETWEEN(1, COUNTA(Historical!$A$1:$A$18)))</f>
        <v>1.4347826086956521</v>
      </c>
      <c r="C1497" s="42">
        <f ca="1">Inputs!$B$2/B1497</f>
        <v>156.12121212121212</v>
      </c>
      <c r="D1497" s="43">
        <f ca="1">WORKDAY(Inputs!$B$3, ROUND(C1497, 0),Sheet2!$A$2:$A$21)</f>
        <v>46246</v>
      </c>
    </row>
    <row r="1498" spans="1:4" x14ac:dyDescent="0.25">
      <c r="A1498" s="42">
        <f t="shared" si="25"/>
        <v>1497</v>
      </c>
      <c r="B1498" s="42" cm="1">
        <f t="array" aca="1" ref="B1498" ca="1">INDEX(Historical!$A$1:$A$18, RANDBETWEEN(1, COUNTA(Historical!$A$1:$A$18)))</f>
        <v>1.3214285714285714</v>
      </c>
      <c r="C1498" s="42">
        <f ca="1">Inputs!$B$2/B1498</f>
        <v>169.51351351351352</v>
      </c>
      <c r="D1498" s="43">
        <f ca="1">WORKDAY(Inputs!$B$3, ROUND(C1498, 0),Sheet2!$A$2:$A$21)</f>
        <v>46266</v>
      </c>
    </row>
    <row r="1499" spans="1:4" x14ac:dyDescent="0.25">
      <c r="A1499" s="42">
        <f t="shared" si="25"/>
        <v>1498</v>
      </c>
      <c r="B1499" s="42" cm="1">
        <f t="array" aca="1" ref="B1499" ca="1">INDEX(Historical!$A$1:$A$18, RANDBETWEEN(1, COUNTA(Historical!$A$1:$A$18)))</f>
        <v>1.2941176470588236</v>
      </c>
      <c r="C1499" s="42">
        <f ca="1">Inputs!$B$2/B1499</f>
        <v>173.09090909090909</v>
      </c>
      <c r="D1499" s="43">
        <f ca="1">WORKDAY(Inputs!$B$3, ROUND(C1499, 0),Sheet2!$A$2:$A$21)</f>
        <v>46269</v>
      </c>
    </row>
    <row r="1500" spans="1:4" x14ac:dyDescent="0.25">
      <c r="A1500" s="42">
        <f t="shared" si="25"/>
        <v>1499</v>
      </c>
      <c r="B1500" s="42" cm="1">
        <f t="array" aca="1" ref="B1500" ca="1">INDEX(Historical!$A$1:$A$18, RANDBETWEEN(1, COUNTA(Historical!$A$1:$A$18)))</f>
        <v>1.3559322033898304</v>
      </c>
      <c r="C1500" s="42">
        <f ca="1">Inputs!$B$2/B1500</f>
        <v>165.20000000000002</v>
      </c>
      <c r="D1500" s="43">
        <f ca="1">WORKDAY(Inputs!$B$3, ROUND(C1500, 0),Sheet2!$A$2:$A$21)</f>
        <v>46259</v>
      </c>
    </row>
    <row r="1501" spans="1:4" x14ac:dyDescent="0.25">
      <c r="A1501" s="42">
        <f t="shared" si="25"/>
        <v>1500</v>
      </c>
      <c r="B1501" s="42" cm="1">
        <f t="array" aca="1" ref="B1501" ca="1">INDEX(Historical!$A$1:$A$18, RANDBETWEEN(1, COUNTA(Historical!$A$1:$A$18)))</f>
        <v>1.3611111111111112</v>
      </c>
      <c r="C1501" s="42">
        <f ca="1">Inputs!$B$2/B1501</f>
        <v>164.57142857142856</v>
      </c>
      <c r="D1501" s="43">
        <f ca="1">WORKDAY(Inputs!$B$3, ROUND(C1501, 0),Sheet2!$A$2:$A$21)</f>
        <v>46259</v>
      </c>
    </row>
    <row r="1502" spans="1:4" x14ac:dyDescent="0.25">
      <c r="A1502" s="42">
        <f t="shared" si="25"/>
        <v>1501</v>
      </c>
      <c r="B1502" s="42" cm="1">
        <f t="array" aca="1" ref="B1502" ca="1">INDEX(Historical!$A$1:$A$18, RANDBETWEEN(1, COUNTA(Historical!$A$1:$A$18)))</f>
        <v>1.4761904761904763</v>
      </c>
      <c r="C1502" s="42">
        <f ca="1">Inputs!$B$2/B1502</f>
        <v>151.74193548387095</v>
      </c>
      <c r="D1502" s="43">
        <f ca="1">WORKDAY(Inputs!$B$3, ROUND(C1502, 0),Sheet2!$A$2:$A$21)</f>
        <v>46240</v>
      </c>
    </row>
    <row r="1503" spans="1:4" x14ac:dyDescent="0.25">
      <c r="A1503" s="42">
        <f t="shared" si="25"/>
        <v>1502</v>
      </c>
      <c r="B1503" s="42" cm="1">
        <f t="array" aca="1" ref="B1503" ca="1">INDEX(Historical!$A$1:$A$18, RANDBETWEEN(1, COUNTA(Historical!$A$1:$A$18)))</f>
        <v>1.3617021276595744</v>
      </c>
      <c r="C1503" s="42">
        <f ca="1">Inputs!$B$2/B1503</f>
        <v>164.5</v>
      </c>
      <c r="D1503" s="43">
        <f ca="1">WORKDAY(Inputs!$B$3, ROUND(C1503, 0),Sheet2!$A$2:$A$21)</f>
        <v>46259</v>
      </c>
    </row>
    <row r="1504" spans="1:4" x14ac:dyDescent="0.25">
      <c r="A1504" s="42">
        <f t="shared" si="25"/>
        <v>1503</v>
      </c>
      <c r="B1504" s="42" cm="1">
        <f t="array" aca="1" ref="B1504" ca="1">INDEX(Historical!$A$1:$A$18, RANDBETWEEN(1, COUNTA(Historical!$A$1:$A$18)))</f>
        <v>1.3707865168539326</v>
      </c>
      <c r="C1504" s="42">
        <f ca="1">Inputs!$B$2/B1504</f>
        <v>163.40983606557376</v>
      </c>
      <c r="D1504" s="43">
        <f ca="1">WORKDAY(Inputs!$B$3, ROUND(C1504, 0),Sheet2!$A$2:$A$21)</f>
        <v>46255</v>
      </c>
    </row>
    <row r="1505" spans="1:4" x14ac:dyDescent="0.25">
      <c r="A1505" s="42">
        <f t="shared" si="25"/>
        <v>1504</v>
      </c>
      <c r="B1505" s="42" cm="1">
        <f t="array" aca="1" ref="B1505" ca="1">INDEX(Historical!$A$1:$A$18, RANDBETWEEN(1, COUNTA(Historical!$A$1:$A$18)))</f>
        <v>1.5</v>
      </c>
      <c r="C1505" s="42">
        <f ca="1">Inputs!$B$2/B1505</f>
        <v>149.33333333333334</v>
      </c>
      <c r="D1505" s="43">
        <f ca="1">WORKDAY(Inputs!$B$3, ROUND(C1505, 0),Sheet2!$A$2:$A$21)</f>
        <v>46237</v>
      </c>
    </row>
    <row r="1506" spans="1:4" x14ac:dyDescent="0.25">
      <c r="A1506" s="42">
        <f t="shared" si="25"/>
        <v>1505</v>
      </c>
      <c r="B1506" s="42" cm="1">
        <f t="array" aca="1" ref="B1506" ca="1">INDEX(Historical!$A$1:$A$18, RANDBETWEEN(1, COUNTA(Historical!$A$1:$A$18)))</f>
        <v>1.3617021276595744</v>
      </c>
      <c r="C1506" s="42">
        <f ca="1">Inputs!$B$2/B1506</f>
        <v>164.5</v>
      </c>
      <c r="D1506" s="43">
        <f ca="1">WORKDAY(Inputs!$B$3, ROUND(C1506, 0),Sheet2!$A$2:$A$21)</f>
        <v>46259</v>
      </c>
    </row>
    <row r="1507" spans="1:4" x14ac:dyDescent="0.25">
      <c r="A1507" s="42">
        <f t="shared" si="25"/>
        <v>1506</v>
      </c>
      <c r="B1507" s="42" cm="1">
        <f t="array" aca="1" ref="B1507" ca="1">INDEX(Historical!$A$1:$A$18, RANDBETWEEN(1, COUNTA(Historical!$A$1:$A$18)))</f>
        <v>1.4038461538461537</v>
      </c>
      <c r="C1507" s="42">
        <f ca="1">Inputs!$B$2/B1507</f>
        <v>159.56164383561645</v>
      </c>
      <c r="D1507" s="43">
        <f ca="1">WORKDAY(Inputs!$B$3, ROUND(C1507, 0),Sheet2!$A$2:$A$21)</f>
        <v>46252</v>
      </c>
    </row>
    <row r="1508" spans="1:4" x14ac:dyDescent="0.25">
      <c r="A1508" s="42">
        <f t="shared" si="25"/>
        <v>1507</v>
      </c>
      <c r="B1508" s="42" cm="1">
        <f t="array" aca="1" ref="B1508" ca="1">INDEX(Historical!$A$1:$A$18, RANDBETWEEN(1, COUNTA(Historical!$A$1:$A$18)))</f>
        <v>1.3157894736842106</v>
      </c>
      <c r="C1508" s="42">
        <f ca="1">Inputs!$B$2/B1508</f>
        <v>170.23999999999998</v>
      </c>
      <c r="D1508" s="43">
        <f ca="1">WORKDAY(Inputs!$B$3, ROUND(C1508, 0),Sheet2!$A$2:$A$21)</f>
        <v>46266</v>
      </c>
    </row>
    <row r="1509" spans="1:4" x14ac:dyDescent="0.25">
      <c r="A1509" s="42">
        <f t="shared" si="25"/>
        <v>1508</v>
      </c>
      <c r="B1509" s="42" cm="1">
        <f t="array" aca="1" ref="B1509" ca="1">INDEX(Historical!$A$1:$A$18, RANDBETWEEN(1, COUNTA(Historical!$A$1:$A$18)))</f>
        <v>1.3707865168539326</v>
      </c>
      <c r="C1509" s="42">
        <f ca="1">Inputs!$B$2/B1509</f>
        <v>163.40983606557376</v>
      </c>
      <c r="D1509" s="43">
        <f ca="1">WORKDAY(Inputs!$B$3, ROUND(C1509, 0),Sheet2!$A$2:$A$21)</f>
        <v>46255</v>
      </c>
    </row>
    <row r="1510" spans="1:4" x14ac:dyDescent="0.25">
      <c r="A1510" s="42">
        <f t="shared" si="25"/>
        <v>1509</v>
      </c>
      <c r="B1510" s="42" cm="1">
        <f t="array" aca="1" ref="B1510" ca="1">INDEX(Historical!$A$1:$A$18, RANDBETWEEN(1, COUNTA(Historical!$A$1:$A$18)))</f>
        <v>1.3157894736842106</v>
      </c>
      <c r="C1510" s="42">
        <f ca="1">Inputs!$B$2/B1510</f>
        <v>170.23999999999998</v>
      </c>
      <c r="D1510" s="43">
        <f ca="1">WORKDAY(Inputs!$B$3, ROUND(C1510, 0),Sheet2!$A$2:$A$21)</f>
        <v>46266</v>
      </c>
    </row>
    <row r="1511" spans="1:4" x14ac:dyDescent="0.25">
      <c r="A1511" s="42">
        <f t="shared" si="25"/>
        <v>1510</v>
      </c>
      <c r="B1511" s="42" cm="1">
        <f t="array" aca="1" ref="B1511" ca="1">INDEX(Historical!$A$1:$A$18, RANDBETWEEN(1, COUNTA(Historical!$A$1:$A$18)))</f>
        <v>1.5</v>
      </c>
      <c r="C1511" s="42">
        <f ca="1">Inputs!$B$2/B1511</f>
        <v>149.33333333333334</v>
      </c>
      <c r="D1511" s="43">
        <f ca="1">WORKDAY(Inputs!$B$3, ROUND(C1511, 0),Sheet2!$A$2:$A$21)</f>
        <v>46237</v>
      </c>
    </row>
    <row r="1512" spans="1:4" x14ac:dyDescent="0.25">
      <c r="A1512" s="42">
        <f t="shared" si="25"/>
        <v>1511</v>
      </c>
      <c r="B1512" s="42" cm="1">
        <f t="array" aca="1" ref="B1512" ca="1">INDEX(Historical!$A$1:$A$18, RANDBETWEEN(1, COUNTA(Historical!$A$1:$A$18)))</f>
        <v>1.5</v>
      </c>
      <c r="C1512" s="42">
        <f ca="1">Inputs!$B$2/B1512</f>
        <v>149.33333333333334</v>
      </c>
      <c r="D1512" s="43">
        <f ca="1">WORKDAY(Inputs!$B$3, ROUND(C1512, 0),Sheet2!$A$2:$A$21)</f>
        <v>46237</v>
      </c>
    </row>
    <row r="1513" spans="1:4" x14ac:dyDescent="0.25">
      <c r="A1513" s="42">
        <f t="shared" si="25"/>
        <v>1512</v>
      </c>
      <c r="B1513" s="42" cm="1">
        <f t="array" aca="1" ref="B1513" ca="1">INDEX(Historical!$A$1:$A$18, RANDBETWEEN(1, COUNTA(Historical!$A$1:$A$18)))</f>
        <v>1.3611111111111112</v>
      </c>
      <c r="C1513" s="42">
        <f ca="1">Inputs!$B$2/B1513</f>
        <v>164.57142857142856</v>
      </c>
      <c r="D1513" s="43">
        <f ca="1">WORKDAY(Inputs!$B$3, ROUND(C1513, 0),Sheet2!$A$2:$A$21)</f>
        <v>46259</v>
      </c>
    </row>
    <row r="1514" spans="1:4" x14ac:dyDescent="0.25">
      <c r="A1514" s="42">
        <f t="shared" si="25"/>
        <v>1513</v>
      </c>
      <c r="B1514" s="42" cm="1">
        <f t="array" aca="1" ref="B1514" ca="1">INDEX(Historical!$A$1:$A$18, RANDBETWEEN(1, COUNTA(Historical!$A$1:$A$18)))</f>
        <v>1.3692307692307693</v>
      </c>
      <c r="C1514" s="42">
        <f ca="1">Inputs!$B$2/B1514</f>
        <v>163.59550561797752</v>
      </c>
      <c r="D1514" s="43">
        <f ca="1">WORKDAY(Inputs!$B$3, ROUND(C1514, 0),Sheet2!$A$2:$A$21)</f>
        <v>46258</v>
      </c>
    </row>
    <row r="1515" spans="1:4" x14ac:dyDescent="0.25">
      <c r="A1515" s="42">
        <f t="shared" si="25"/>
        <v>1514</v>
      </c>
      <c r="B1515" s="42" cm="1">
        <f t="array" aca="1" ref="B1515" ca="1">INDEX(Historical!$A$1:$A$18, RANDBETWEEN(1, COUNTA(Historical!$A$1:$A$18)))</f>
        <v>1.3214285714285714</v>
      </c>
      <c r="C1515" s="42">
        <f ca="1">Inputs!$B$2/B1515</f>
        <v>169.51351351351352</v>
      </c>
      <c r="D1515" s="43">
        <f ca="1">WORKDAY(Inputs!$B$3, ROUND(C1515, 0),Sheet2!$A$2:$A$21)</f>
        <v>46266</v>
      </c>
    </row>
    <row r="1516" spans="1:4" x14ac:dyDescent="0.25">
      <c r="A1516" s="42">
        <f t="shared" si="25"/>
        <v>1515</v>
      </c>
      <c r="B1516" s="42" cm="1">
        <f t="array" aca="1" ref="B1516" ca="1">INDEX(Historical!$A$1:$A$18, RANDBETWEEN(1, COUNTA(Historical!$A$1:$A$18)))</f>
        <v>1.4347826086956521</v>
      </c>
      <c r="C1516" s="42">
        <f ca="1">Inputs!$B$2/B1516</f>
        <v>156.12121212121212</v>
      </c>
      <c r="D1516" s="43">
        <f ca="1">WORKDAY(Inputs!$B$3, ROUND(C1516, 0),Sheet2!$A$2:$A$21)</f>
        <v>46246</v>
      </c>
    </row>
    <row r="1517" spans="1:4" x14ac:dyDescent="0.25">
      <c r="A1517" s="42">
        <f t="shared" si="25"/>
        <v>1516</v>
      </c>
      <c r="B1517" s="42" cm="1">
        <f t="array" aca="1" ref="B1517" ca="1">INDEX(Historical!$A$1:$A$18, RANDBETWEEN(1, COUNTA(Historical!$A$1:$A$18)))</f>
        <v>1.3157894736842106</v>
      </c>
      <c r="C1517" s="42">
        <f ca="1">Inputs!$B$2/B1517</f>
        <v>170.23999999999998</v>
      </c>
      <c r="D1517" s="43">
        <f ca="1">WORKDAY(Inputs!$B$3, ROUND(C1517, 0),Sheet2!$A$2:$A$21)</f>
        <v>46266</v>
      </c>
    </row>
    <row r="1518" spans="1:4" x14ac:dyDescent="0.25">
      <c r="A1518" s="42">
        <f t="shared" si="25"/>
        <v>1517</v>
      </c>
      <c r="B1518" s="42" cm="1">
        <f t="array" aca="1" ref="B1518" ca="1">INDEX(Historical!$A$1:$A$18, RANDBETWEEN(1, COUNTA(Historical!$A$1:$A$18)))</f>
        <v>1.3559322033898304</v>
      </c>
      <c r="C1518" s="42">
        <f ca="1">Inputs!$B$2/B1518</f>
        <v>165.20000000000002</v>
      </c>
      <c r="D1518" s="43">
        <f ca="1">WORKDAY(Inputs!$B$3, ROUND(C1518, 0),Sheet2!$A$2:$A$21)</f>
        <v>46259</v>
      </c>
    </row>
    <row r="1519" spans="1:4" x14ac:dyDescent="0.25">
      <c r="A1519" s="42">
        <f t="shared" si="25"/>
        <v>1518</v>
      </c>
      <c r="B1519" s="42" cm="1">
        <f t="array" aca="1" ref="B1519" ca="1">INDEX(Historical!$A$1:$A$18, RANDBETWEEN(1, COUNTA(Historical!$A$1:$A$18)))</f>
        <v>1.4347826086956521</v>
      </c>
      <c r="C1519" s="42">
        <f ca="1">Inputs!$B$2/B1519</f>
        <v>156.12121212121212</v>
      </c>
      <c r="D1519" s="43">
        <f ca="1">WORKDAY(Inputs!$B$3, ROUND(C1519, 0),Sheet2!$A$2:$A$21)</f>
        <v>46246</v>
      </c>
    </row>
    <row r="1520" spans="1:4" x14ac:dyDescent="0.25">
      <c r="A1520" s="42">
        <f t="shared" si="25"/>
        <v>1519</v>
      </c>
      <c r="B1520" s="42" cm="1">
        <f t="array" aca="1" ref="B1520" ca="1">INDEX(Historical!$A$1:$A$18, RANDBETWEEN(1, COUNTA(Historical!$A$1:$A$18)))</f>
        <v>1.3707865168539326</v>
      </c>
      <c r="C1520" s="42">
        <f ca="1">Inputs!$B$2/B1520</f>
        <v>163.40983606557376</v>
      </c>
      <c r="D1520" s="43">
        <f ca="1">WORKDAY(Inputs!$B$3, ROUND(C1520, 0),Sheet2!$A$2:$A$21)</f>
        <v>46255</v>
      </c>
    </row>
    <row r="1521" spans="1:4" x14ac:dyDescent="0.25">
      <c r="A1521" s="42">
        <f t="shared" si="25"/>
        <v>1520</v>
      </c>
      <c r="B1521" s="42" cm="1">
        <f t="array" aca="1" ref="B1521" ca="1">INDEX(Historical!$A$1:$A$18, RANDBETWEEN(1, COUNTA(Historical!$A$1:$A$18)))</f>
        <v>1.375</v>
      </c>
      <c r="C1521" s="42">
        <f ca="1">Inputs!$B$2/B1521</f>
        <v>162.90909090909091</v>
      </c>
      <c r="D1521" s="43">
        <f ca="1">WORKDAY(Inputs!$B$3, ROUND(C1521, 0),Sheet2!$A$2:$A$21)</f>
        <v>46255</v>
      </c>
    </row>
    <row r="1522" spans="1:4" x14ac:dyDescent="0.25">
      <c r="A1522" s="42">
        <f t="shared" si="25"/>
        <v>1521</v>
      </c>
      <c r="B1522" s="42" cm="1">
        <f t="array" aca="1" ref="B1522" ca="1">INDEX(Historical!$A$1:$A$18, RANDBETWEEN(1, COUNTA(Historical!$A$1:$A$18)))</f>
        <v>1.3214285714285714</v>
      </c>
      <c r="C1522" s="42">
        <f ca="1">Inputs!$B$2/B1522</f>
        <v>169.51351351351352</v>
      </c>
      <c r="D1522" s="43">
        <f ca="1">WORKDAY(Inputs!$B$3, ROUND(C1522, 0),Sheet2!$A$2:$A$21)</f>
        <v>46266</v>
      </c>
    </row>
    <row r="1523" spans="1:4" x14ac:dyDescent="0.25">
      <c r="A1523" s="42">
        <f t="shared" si="25"/>
        <v>1522</v>
      </c>
      <c r="B1523" s="42" cm="1">
        <f t="array" aca="1" ref="B1523" ca="1">INDEX(Historical!$A$1:$A$18, RANDBETWEEN(1, COUNTA(Historical!$A$1:$A$18)))</f>
        <v>1.4347826086956521</v>
      </c>
      <c r="C1523" s="42">
        <f ca="1">Inputs!$B$2/B1523</f>
        <v>156.12121212121212</v>
      </c>
      <c r="D1523" s="43">
        <f ca="1">WORKDAY(Inputs!$B$3, ROUND(C1523, 0),Sheet2!$A$2:$A$21)</f>
        <v>46246</v>
      </c>
    </row>
    <row r="1524" spans="1:4" x14ac:dyDescent="0.25">
      <c r="A1524" s="42">
        <f t="shared" si="25"/>
        <v>1523</v>
      </c>
      <c r="B1524" s="42" cm="1">
        <f t="array" aca="1" ref="B1524" ca="1">INDEX(Historical!$A$1:$A$18, RANDBETWEEN(1, COUNTA(Historical!$A$1:$A$18)))</f>
        <v>1.4761904761904763</v>
      </c>
      <c r="C1524" s="42">
        <f ca="1">Inputs!$B$2/B1524</f>
        <v>151.74193548387095</v>
      </c>
      <c r="D1524" s="43">
        <f ca="1">WORKDAY(Inputs!$B$3, ROUND(C1524, 0),Sheet2!$A$2:$A$21)</f>
        <v>46240</v>
      </c>
    </row>
    <row r="1525" spans="1:4" x14ac:dyDescent="0.25">
      <c r="A1525" s="42">
        <f t="shared" si="25"/>
        <v>1524</v>
      </c>
      <c r="B1525" s="42" cm="1">
        <f t="array" aca="1" ref="B1525" ca="1">INDEX(Historical!$A$1:$A$18, RANDBETWEEN(1, COUNTA(Historical!$A$1:$A$18)))</f>
        <v>1.4761904761904763</v>
      </c>
      <c r="C1525" s="42">
        <f ca="1">Inputs!$B$2/B1525</f>
        <v>151.74193548387095</v>
      </c>
      <c r="D1525" s="43">
        <f ca="1">WORKDAY(Inputs!$B$3, ROUND(C1525, 0),Sheet2!$A$2:$A$21)</f>
        <v>46240</v>
      </c>
    </row>
    <row r="1526" spans="1:4" x14ac:dyDescent="0.25">
      <c r="A1526" s="42">
        <f t="shared" si="25"/>
        <v>1525</v>
      </c>
      <c r="B1526" s="42" cm="1">
        <f t="array" aca="1" ref="B1526" ca="1">INDEX(Historical!$A$1:$A$18, RANDBETWEEN(1, COUNTA(Historical!$A$1:$A$18)))</f>
        <v>1.375</v>
      </c>
      <c r="C1526" s="42">
        <f ca="1">Inputs!$B$2/B1526</f>
        <v>162.90909090909091</v>
      </c>
      <c r="D1526" s="43">
        <f ca="1">WORKDAY(Inputs!$B$3, ROUND(C1526, 0),Sheet2!$A$2:$A$21)</f>
        <v>46255</v>
      </c>
    </row>
    <row r="1527" spans="1:4" x14ac:dyDescent="0.25">
      <c r="A1527" s="42">
        <f t="shared" si="25"/>
        <v>1526</v>
      </c>
      <c r="B1527" s="42" cm="1">
        <f t="array" aca="1" ref="B1527" ca="1">INDEX(Historical!$A$1:$A$18, RANDBETWEEN(1, COUNTA(Historical!$A$1:$A$18)))</f>
        <v>1.4038461538461537</v>
      </c>
      <c r="C1527" s="42">
        <f ca="1">Inputs!$B$2/B1527</f>
        <v>159.56164383561645</v>
      </c>
      <c r="D1527" s="43">
        <f ca="1">WORKDAY(Inputs!$B$3, ROUND(C1527, 0),Sheet2!$A$2:$A$21)</f>
        <v>46252</v>
      </c>
    </row>
    <row r="1528" spans="1:4" x14ac:dyDescent="0.25">
      <c r="A1528" s="42">
        <f t="shared" si="25"/>
        <v>1527</v>
      </c>
      <c r="B1528" s="42" cm="1">
        <f t="array" aca="1" ref="B1528" ca="1">INDEX(Historical!$A$1:$A$18, RANDBETWEEN(1, COUNTA(Historical!$A$1:$A$18)))</f>
        <v>1.3617021276595744</v>
      </c>
      <c r="C1528" s="42">
        <f ca="1">Inputs!$B$2/B1528</f>
        <v>164.5</v>
      </c>
      <c r="D1528" s="43">
        <f ca="1">WORKDAY(Inputs!$B$3, ROUND(C1528, 0),Sheet2!$A$2:$A$21)</f>
        <v>46259</v>
      </c>
    </row>
    <row r="1529" spans="1:4" x14ac:dyDescent="0.25">
      <c r="A1529" s="42">
        <f t="shared" si="25"/>
        <v>1528</v>
      </c>
      <c r="B1529" s="42" cm="1">
        <f t="array" aca="1" ref="B1529" ca="1">INDEX(Historical!$A$1:$A$18, RANDBETWEEN(1, COUNTA(Historical!$A$1:$A$18)))</f>
        <v>1.4137931034482758</v>
      </c>
      <c r="C1529" s="42">
        <f ca="1">Inputs!$B$2/B1529</f>
        <v>158.4390243902439</v>
      </c>
      <c r="D1529" s="43">
        <f ca="1">WORKDAY(Inputs!$B$3, ROUND(C1529, 0),Sheet2!$A$2:$A$21)</f>
        <v>46248</v>
      </c>
    </row>
    <row r="1530" spans="1:4" x14ac:dyDescent="0.25">
      <c r="A1530" s="42">
        <f t="shared" si="25"/>
        <v>1529</v>
      </c>
      <c r="B1530" s="42" cm="1">
        <f t="array" aca="1" ref="B1530" ca="1">INDEX(Historical!$A$1:$A$18, RANDBETWEEN(1, COUNTA(Historical!$A$1:$A$18)))</f>
        <v>1.2941176470588236</v>
      </c>
      <c r="C1530" s="42">
        <f ca="1">Inputs!$B$2/B1530</f>
        <v>173.09090909090909</v>
      </c>
      <c r="D1530" s="43">
        <f ca="1">WORKDAY(Inputs!$B$3, ROUND(C1530, 0),Sheet2!$A$2:$A$21)</f>
        <v>46269</v>
      </c>
    </row>
    <row r="1531" spans="1:4" x14ac:dyDescent="0.25">
      <c r="A1531" s="42">
        <f t="shared" si="25"/>
        <v>1530</v>
      </c>
      <c r="B1531" s="42" cm="1">
        <f t="array" aca="1" ref="B1531" ca="1">INDEX(Historical!$A$1:$A$18, RANDBETWEEN(1, COUNTA(Historical!$A$1:$A$18)))</f>
        <v>1.1666666666666667</v>
      </c>
      <c r="C1531" s="42">
        <f ca="1">Inputs!$B$2/B1531</f>
        <v>192</v>
      </c>
      <c r="D1531" s="43">
        <f ca="1">WORKDAY(Inputs!$B$3, ROUND(C1531, 0),Sheet2!$A$2:$A$21)</f>
        <v>46297</v>
      </c>
    </row>
    <row r="1532" spans="1:4" x14ac:dyDescent="0.25">
      <c r="A1532" s="42">
        <f t="shared" si="25"/>
        <v>1531</v>
      </c>
      <c r="B1532" s="42" cm="1">
        <f t="array" aca="1" ref="B1532" ca="1">INDEX(Historical!$A$1:$A$18, RANDBETWEEN(1, COUNTA(Historical!$A$1:$A$18)))</f>
        <v>1.3707865168539326</v>
      </c>
      <c r="C1532" s="42">
        <f ca="1">Inputs!$B$2/B1532</f>
        <v>163.40983606557376</v>
      </c>
      <c r="D1532" s="43">
        <f ca="1">WORKDAY(Inputs!$B$3, ROUND(C1532, 0),Sheet2!$A$2:$A$21)</f>
        <v>46255</v>
      </c>
    </row>
    <row r="1533" spans="1:4" x14ac:dyDescent="0.25">
      <c r="A1533" s="42">
        <f t="shared" si="25"/>
        <v>1532</v>
      </c>
      <c r="B1533" s="42" cm="1">
        <f t="array" aca="1" ref="B1533" ca="1">INDEX(Historical!$A$1:$A$18, RANDBETWEEN(1, COUNTA(Historical!$A$1:$A$18)))</f>
        <v>1.5</v>
      </c>
      <c r="C1533" s="42">
        <f ca="1">Inputs!$B$2/B1533</f>
        <v>149.33333333333334</v>
      </c>
      <c r="D1533" s="43">
        <f ca="1">WORKDAY(Inputs!$B$3, ROUND(C1533, 0),Sheet2!$A$2:$A$21)</f>
        <v>46237</v>
      </c>
    </row>
    <row r="1534" spans="1:4" x14ac:dyDescent="0.25">
      <c r="A1534" s="42">
        <f t="shared" si="25"/>
        <v>1533</v>
      </c>
      <c r="B1534" s="42" cm="1">
        <f t="array" aca="1" ref="B1534" ca="1">INDEX(Historical!$A$1:$A$18, RANDBETWEEN(1, COUNTA(Historical!$A$1:$A$18)))</f>
        <v>1.303030303030303</v>
      </c>
      <c r="C1534" s="42">
        <f ca="1">Inputs!$B$2/B1534</f>
        <v>171.90697674418604</v>
      </c>
      <c r="D1534" s="43">
        <f ca="1">WORKDAY(Inputs!$B$3, ROUND(C1534, 0),Sheet2!$A$2:$A$21)</f>
        <v>46268</v>
      </c>
    </row>
    <row r="1535" spans="1:4" x14ac:dyDescent="0.25">
      <c r="A1535" s="42">
        <f t="shared" si="25"/>
        <v>1534</v>
      </c>
      <c r="B1535" s="42" cm="1">
        <f t="array" aca="1" ref="B1535" ca="1">INDEX(Historical!$A$1:$A$18, RANDBETWEEN(1, COUNTA(Historical!$A$1:$A$18)))</f>
        <v>1.4038461538461537</v>
      </c>
      <c r="C1535" s="42">
        <f ca="1">Inputs!$B$2/B1535</f>
        <v>159.56164383561645</v>
      </c>
      <c r="D1535" s="43">
        <f ca="1">WORKDAY(Inputs!$B$3, ROUND(C1535, 0),Sheet2!$A$2:$A$21)</f>
        <v>46252</v>
      </c>
    </row>
    <row r="1536" spans="1:4" x14ac:dyDescent="0.25">
      <c r="A1536" s="42">
        <f t="shared" si="25"/>
        <v>1535</v>
      </c>
      <c r="B1536" s="42" cm="1">
        <f t="array" aca="1" ref="B1536" ca="1">INDEX(Historical!$A$1:$A$18, RANDBETWEEN(1, COUNTA(Historical!$A$1:$A$18)))</f>
        <v>1.368421052631579</v>
      </c>
      <c r="C1536" s="42">
        <f ca="1">Inputs!$B$2/B1536</f>
        <v>163.69230769230768</v>
      </c>
      <c r="D1536" s="43">
        <f ca="1">WORKDAY(Inputs!$B$3, ROUND(C1536, 0),Sheet2!$A$2:$A$21)</f>
        <v>46258</v>
      </c>
    </row>
    <row r="1537" spans="1:4" x14ac:dyDescent="0.25">
      <c r="A1537" s="42">
        <f t="shared" si="25"/>
        <v>1536</v>
      </c>
      <c r="B1537" s="42" cm="1">
        <f t="array" aca="1" ref="B1537" ca="1">INDEX(Historical!$A$1:$A$18, RANDBETWEEN(1, COUNTA(Historical!$A$1:$A$18)))</f>
        <v>1.368421052631579</v>
      </c>
      <c r="C1537" s="42">
        <f ca="1">Inputs!$B$2/B1537</f>
        <v>163.69230769230768</v>
      </c>
      <c r="D1537" s="43">
        <f ca="1">WORKDAY(Inputs!$B$3, ROUND(C1537, 0),Sheet2!$A$2:$A$21)</f>
        <v>46258</v>
      </c>
    </row>
    <row r="1538" spans="1:4" x14ac:dyDescent="0.25">
      <c r="A1538" s="42">
        <f t="shared" si="25"/>
        <v>1537</v>
      </c>
      <c r="B1538" s="42" cm="1">
        <f t="array" aca="1" ref="B1538" ca="1">INDEX(Historical!$A$1:$A$18, RANDBETWEEN(1, COUNTA(Historical!$A$1:$A$18)))</f>
        <v>1.303030303030303</v>
      </c>
      <c r="C1538" s="42">
        <f ca="1">Inputs!$B$2/B1538</f>
        <v>171.90697674418604</v>
      </c>
      <c r="D1538" s="43">
        <f ca="1">WORKDAY(Inputs!$B$3, ROUND(C1538, 0),Sheet2!$A$2:$A$21)</f>
        <v>46268</v>
      </c>
    </row>
    <row r="1539" spans="1:4" x14ac:dyDescent="0.25">
      <c r="A1539" s="42">
        <f t="shared" ref="A1539:A1602" si="26">ROW()-1</f>
        <v>1538</v>
      </c>
      <c r="B1539" s="42" cm="1">
        <f t="array" aca="1" ref="B1539" ca="1">INDEX(Historical!$A$1:$A$18, RANDBETWEEN(1, COUNTA(Historical!$A$1:$A$18)))</f>
        <v>1.4137931034482758</v>
      </c>
      <c r="C1539" s="42">
        <f ca="1">Inputs!$B$2/B1539</f>
        <v>158.4390243902439</v>
      </c>
      <c r="D1539" s="43">
        <f ca="1">WORKDAY(Inputs!$B$3, ROUND(C1539, 0),Sheet2!$A$2:$A$21)</f>
        <v>46248</v>
      </c>
    </row>
    <row r="1540" spans="1:4" x14ac:dyDescent="0.25">
      <c r="A1540" s="42">
        <f t="shared" si="26"/>
        <v>1539</v>
      </c>
      <c r="B1540" s="42" cm="1">
        <f t="array" aca="1" ref="B1540" ca="1">INDEX(Historical!$A$1:$A$18, RANDBETWEEN(1, COUNTA(Historical!$A$1:$A$18)))</f>
        <v>1.1666666666666667</v>
      </c>
      <c r="C1540" s="42">
        <f ca="1">Inputs!$B$2/B1540</f>
        <v>192</v>
      </c>
      <c r="D1540" s="43">
        <f ca="1">WORKDAY(Inputs!$B$3, ROUND(C1540, 0),Sheet2!$A$2:$A$21)</f>
        <v>46297</v>
      </c>
    </row>
    <row r="1541" spans="1:4" x14ac:dyDescent="0.25">
      <c r="A1541" s="42">
        <f t="shared" si="26"/>
        <v>1540</v>
      </c>
      <c r="B1541" s="42" cm="1">
        <f t="array" aca="1" ref="B1541" ca="1">INDEX(Historical!$A$1:$A$18, RANDBETWEEN(1, COUNTA(Historical!$A$1:$A$18)))</f>
        <v>1.3559322033898304</v>
      </c>
      <c r="C1541" s="42">
        <f ca="1">Inputs!$B$2/B1541</f>
        <v>165.20000000000002</v>
      </c>
      <c r="D1541" s="43">
        <f ca="1">WORKDAY(Inputs!$B$3, ROUND(C1541, 0),Sheet2!$A$2:$A$21)</f>
        <v>46259</v>
      </c>
    </row>
    <row r="1542" spans="1:4" x14ac:dyDescent="0.25">
      <c r="A1542" s="42">
        <f t="shared" si="26"/>
        <v>1541</v>
      </c>
      <c r="B1542" s="42" cm="1">
        <f t="array" aca="1" ref="B1542" ca="1">INDEX(Historical!$A$1:$A$18, RANDBETWEEN(1, COUNTA(Historical!$A$1:$A$18)))</f>
        <v>1.3692307692307693</v>
      </c>
      <c r="C1542" s="42">
        <f ca="1">Inputs!$B$2/B1542</f>
        <v>163.59550561797752</v>
      </c>
      <c r="D1542" s="43">
        <f ca="1">WORKDAY(Inputs!$B$3, ROUND(C1542, 0),Sheet2!$A$2:$A$21)</f>
        <v>46258</v>
      </c>
    </row>
    <row r="1543" spans="1:4" x14ac:dyDescent="0.25">
      <c r="A1543" s="42">
        <f t="shared" si="26"/>
        <v>1542</v>
      </c>
      <c r="B1543" s="42" cm="1">
        <f t="array" aca="1" ref="B1543" ca="1">INDEX(Historical!$A$1:$A$18, RANDBETWEEN(1, COUNTA(Historical!$A$1:$A$18)))</f>
        <v>1.1666666666666667</v>
      </c>
      <c r="C1543" s="42">
        <f ca="1">Inputs!$B$2/B1543</f>
        <v>192</v>
      </c>
      <c r="D1543" s="43">
        <f ca="1">WORKDAY(Inputs!$B$3, ROUND(C1543, 0),Sheet2!$A$2:$A$21)</f>
        <v>46297</v>
      </c>
    </row>
    <row r="1544" spans="1:4" x14ac:dyDescent="0.25">
      <c r="A1544" s="42">
        <f t="shared" si="26"/>
        <v>1543</v>
      </c>
      <c r="B1544" s="42" cm="1">
        <f t="array" aca="1" ref="B1544" ca="1">INDEX(Historical!$A$1:$A$18, RANDBETWEEN(1, COUNTA(Historical!$A$1:$A$18)))</f>
        <v>1.3611111111111112</v>
      </c>
      <c r="C1544" s="42">
        <f ca="1">Inputs!$B$2/B1544</f>
        <v>164.57142857142856</v>
      </c>
      <c r="D1544" s="43">
        <f ca="1">WORKDAY(Inputs!$B$3, ROUND(C1544, 0),Sheet2!$A$2:$A$21)</f>
        <v>46259</v>
      </c>
    </row>
    <row r="1545" spans="1:4" x14ac:dyDescent="0.25">
      <c r="A1545" s="42">
        <f t="shared" si="26"/>
        <v>1544</v>
      </c>
      <c r="B1545" s="42" cm="1">
        <f t="array" aca="1" ref="B1545" ca="1">INDEX(Historical!$A$1:$A$18, RANDBETWEEN(1, COUNTA(Historical!$A$1:$A$18)))</f>
        <v>1.3214285714285714</v>
      </c>
      <c r="C1545" s="42">
        <f ca="1">Inputs!$B$2/B1545</f>
        <v>169.51351351351352</v>
      </c>
      <c r="D1545" s="43">
        <f ca="1">WORKDAY(Inputs!$B$3, ROUND(C1545, 0),Sheet2!$A$2:$A$21)</f>
        <v>46266</v>
      </c>
    </row>
    <row r="1546" spans="1:4" x14ac:dyDescent="0.25">
      <c r="A1546" s="42">
        <f t="shared" si="26"/>
        <v>1545</v>
      </c>
      <c r="B1546" s="42" cm="1">
        <f t="array" aca="1" ref="B1546" ca="1">INDEX(Historical!$A$1:$A$18, RANDBETWEEN(1, COUNTA(Historical!$A$1:$A$18)))</f>
        <v>1.5</v>
      </c>
      <c r="C1546" s="42">
        <f ca="1">Inputs!$B$2/B1546</f>
        <v>149.33333333333334</v>
      </c>
      <c r="D1546" s="43">
        <f ca="1">WORKDAY(Inputs!$B$3, ROUND(C1546, 0),Sheet2!$A$2:$A$21)</f>
        <v>46237</v>
      </c>
    </row>
    <row r="1547" spans="1:4" x14ac:dyDescent="0.25">
      <c r="A1547" s="42">
        <f t="shared" si="26"/>
        <v>1546</v>
      </c>
      <c r="B1547" s="42" cm="1">
        <f t="array" aca="1" ref="B1547" ca="1">INDEX(Historical!$A$1:$A$18, RANDBETWEEN(1, COUNTA(Historical!$A$1:$A$18)))</f>
        <v>1.5</v>
      </c>
      <c r="C1547" s="42">
        <f ca="1">Inputs!$B$2/B1547</f>
        <v>149.33333333333334</v>
      </c>
      <c r="D1547" s="43">
        <f ca="1">WORKDAY(Inputs!$B$3, ROUND(C1547, 0),Sheet2!$A$2:$A$21)</f>
        <v>46237</v>
      </c>
    </row>
    <row r="1548" spans="1:4" x14ac:dyDescent="0.25">
      <c r="A1548" s="42">
        <f t="shared" si="26"/>
        <v>1547</v>
      </c>
      <c r="B1548" s="42" cm="1">
        <f t="array" aca="1" ref="B1548" ca="1">INDEX(Historical!$A$1:$A$18, RANDBETWEEN(1, COUNTA(Historical!$A$1:$A$18)))</f>
        <v>1.3157894736842106</v>
      </c>
      <c r="C1548" s="42">
        <f ca="1">Inputs!$B$2/B1548</f>
        <v>170.23999999999998</v>
      </c>
      <c r="D1548" s="43">
        <f ca="1">WORKDAY(Inputs!$B$3, ROUND(C1548, 0),Sheet2!$A$2:$A$21)</f>
        <v>46266</v>
      </c>
    </row>
    <row r="1549" spans="1:4" x14ac:dyDescent="0.25">
      <c r="A1549" s="42">
        <f t="shared" si="26"/>
        <v>1548</v>
      </c>
      <c r="B1549" s="42" cm="1">
        <f t="array" aca="1" ref="B1549" ca="1">INDEX(Historical!$A$1:$A$18, RANDBETWEEN(1, COUNTA(Historical!$A$1:$A$18)))</f>
        <v>1.290909090909091</v>
      </c>
      <c r="C1549" s="42">
        <f ca="1">Inputs!$B$2/B1549</f>
        <v>173.52112676056336</v>
      </c>
      <c r="D1549" s="43">
        <f ca="1">WORKDAY(Inputs!$B$3, ROUND(C1549, 0),Sheet2!$A$2:$A$21)</f>
        <v>46273</v>
      </c>
    </row>
    <row r="1550" spans="1:4" x14ac:dyDescent="0.25">
      <c r="A1550" s="42">
        <f t="shared" si="26"/>
        <v>1549</v>
      </c>
      <c r="B1550" s="42" cm="1">
        <f t="array" aca="1" ref="B1550" ca="1">INDEX(Historical!$A$1:$A$18, RANDBETWEEN(1, COUNTA(Historical!$A$1:$A$18)))</f>
        <v>1.3559322033898304</v>
      </c>
      <c r="C1550" s="42">
        <f ca="1">Inputs!$B$2/B1550</f>
        <v>165.20000000000002</v>
      </c>
      <c r="D1550" s="43">
        <f ca="1">WORKDAY(Inputs!$B$3, ROUND(C1550, 0),Sheet2!$A$2:$A$21)</f>
        <v>46259</v>
      </c>
    </row>
    <row r="1551" spans="1:4" x14ac:dyDescent="0.25">
      <c r="A1551" s="42">
        <f t="shared" si="26"/>
        <v>1550</v>
      </c>
      <c r="B1551" s="42" cm="1">
        <f t="array" aca="1" ref="B1551" ca="1">INDEX(Historical!$A$1:$A$18, RANDBETWEEN(1, COUNTA(Historical!$A$1:$A$18)))</f>
        <v>1.5</v>
      </c>
      <c r="C1551" s="42">
        <f ca="1">Inputs!$B$2/B1551</f>
        <v>149.33333333333334</v>
      </c>
      <c r="D1551" s="43">
        <f ca="1">WORKDAY(Inputs!$B$3, ROUND(C1551, 0),Sheet2!$A$2:$A$21)</f>
        <v>46237</v>
      </c>
    </row>
    <row r="1552" spans="1:4" x14ac:dyDescent="0.25">
      <c r="A1552" s="42">
        <f t="shared" si="26"/>
        <v>1551</v>
      </c>
      <c r="B1552" s="42" cm="1">
        <f t="array" aca="1" ref="B1552" ca="1">INDEX(Historical!$A$1:$A$18, RANDBETWEEN(1, COUNTA(Historical!$A$1:$A$18)))</f>
        <v>1.5</v>
      </c>
      <c r="C1552" s="42">
        <f ca="1">Inputs!$B$2/B1552</f>
        <v>149.33333333333334</v>
      </c>
      <c r="D1552" s="43">
        <f ca="1">WORKDAY(Inputs!$B$3, ROUND(C1552, 0),Sheet2!$A$2:$A$21)</f>
        <v>46237</v>
      </c>
    </row>
    <row r="1553" spans="1:4" x14ac:dyDescent="0.25">
      <c r="A1553" s="42">
        <f t="shared" si="26"/>
        <v>1552</v>
      </c>
      <c r="B1553" s="42" cm="1">
        <f t="array" aca="1" ref="B1553" ca="1">INDEX(Historical!$A$1:$A$18, RANDBETWEEN(1, COUNTA(Historical!$A$1:$A$18)))</f>
        <v>1.3692307692307693</v>
      </c>
      <c r="C1553" s="42">
        <f ca="1">Inputs!$B$2/B1553</f>
        <v>163.59550561797752</v>
      </c>
      <c r="D1553" s="43">
        <f ca="1">WORKDAY(Inputs!$B$3, ROUND(C1553, 0),Sheet2!$A$2:$A$21)</f>
        <v>46258</v>
      </c>
    </row>
    <row r="1554" spans="1:4" x14ac:dyDescent="0.25">
      <c r="A1554" s="42">
        <f t="shared" si="26"/>
        <v>1553</v>
      </c>
      <c r="B1554" s="42" cm="1">
        <f t="array" aca="1" ref="B1554" ca="1">INDEX(Historical!$A$1:$A$18, RANDBETWEEN(1, COUNTA(Historical!$A$1:$A$18)))</f>
        <v>1.4038461538461537</v>
      </c>
      <c r="C1554" s="42">
        <f ca="1">Inputs!$B$2/B1554</f>
        <v>159.56164383561645</v>
      </c>
      <c r="D1554" s="43">
        <f ca="1">WORKDAY(Inputs!$B$3, ROUND(C1554, 0),Sheet2!$A$2:$A$21)</f>
        <v>46252</v>
      </c>
    </row>
    <row r="1555" spans="1:4" x14ac:dyDescent="0.25">
      <c r="A1555" s="42">
        <f t="shared" si="26"/>
        <v>1554</v>
      </c>
      <c r="B1555" s="42" cm="1">
        <f t="array" aca="1" ref="B1555" ca="1">INDEX(Historical!$A$1:$A$18, RANDBETWEEN(1, COUNTA(Historical!$A$1:$A$18)))</f>
        <v>1.290909090909091</v>
      </c>
      <c r="C1555" s="42">
        <f ca="1">Inputs!$B$2/B1555</f>
        <v>173.52112676056336</v>
      </c>
      <c r="D1555" s="43">
        <f ca="1">WORKDAY(Inputs!$B$3, ROUND(C1555, 0),Sheet2!$A$2:$A$21)</f>
        <v>46273</v>
      </c>
    </row>
    <row r="1556" spans="1:4" x14ac:dyDescent="0.25">
      <c r="A1556" s="42">
        <f t="shared" si="26"/>
        <v>1555</v>
      </c>
      <c r="B1556" s="42" cm="1">
        <f t="array" aca="1" ref="B1556" ca="1">INDEX(Historical!$A$1:$A$18, RANDBETWEEN(1, COUNTA(Historical!$A$1:$A$18)))</f>
        <v>1.3692307692307693</v>
      </c>
      <c r="C1556" s="42">
        <f ca="1">Inputs!$B$2/B1556</f>
        <v>163.59550561797752</v>
      </c>
      <c r="D1556" s="43">
        <f ca="1">WORKDAY(Inputs!$B$3, ROUND(C1556, 0),Sheet2!$A$2:$A$21)</f>
        <v>46258</v>
      </c>
    </row>
    <row r="1557" spans="1:4" x14ac:dyDescent="0.25">
      <c r="A1557" s="42">
        <f t="shared" si="26"/>
        <v>1556</v>
      </c>
      <c r="B1557" s="42" cm="1">
        <f t="array" aca="1" ref="B1557" ca="1">INDEX(Historical!$A$1:$A$18, RANDBETWEEN(1, COUNTA(Historical!$A$1:$A$18)))</f>
        <v>1.3617021276595744</v>
      </c>
      <c r="C1557" s="42">
        <f ca="1">Inputs!$B$2/B1557</f>
        <v>164.5</v>
      </c>
      <c r="D1557" s="43">
        <f ca="1">WORKDAY(Inputs!$B$3, ROUND(C1557, 0),Sheet2!$A$2:$A$21)</f>
        <v>46259</v>
      </c>
    </row>
    <row r="1558" spans="1:4" x14ac:dyDescent="0.25">
      <c r="A1558" s="42">
        <f t="shared" si="26"/>
        <v>1557</v>
      </c>
      <c r="B1558" s="42" cm="1">
        <f t="array" aca="1" ref="B1558" ca="1">INDEX(Historical!$A$1:$A$18, RANDBETWEEN(1, COUNTA(Historical!$A$1:$A$18)))</f>
        <v>1.3707865168539326</v>
      </c>
      <c r="C1558" s="42">
        <f ca="1">Inputs!$B$2/B1558</f>
        <v>163.40983606557376</v>
      </c>
      <c r="D1558" s="43">
        <f ca="1">WORKDAY(Inputs!$B$3, ROUND(C1558, 0),Sheet2!$A$2:$A$21)</f>
        <v>46255</v>
      </c>
    </row>
    <row r="1559" spans="1:4" x14ac:dyDescent="0.25">
      <c r="A1559" s="42">
        <f t="shared" si="26"/>
        <v>1558</v>
      </c>
      <c r="B1559" s="42" cm="1">
        <f t="array" aca="1" ref="B1559" ca="1">INDEX(Historical!$A$1:$A$18, RANDBETWEEN(1, COUNTA(Historical!$A$1:$A$18)))</f>
        <v>1.3707865168539326</v>
      </c>
      <c r="C1559" s="42">
        <f ca="1">Inputs!$B$2/B1559</f>
        <v>163.40983606557376</v>
      </c>
      <c r="D1559" s="43">
        <f ca="1">WORKDAY(Inputs!$B$3, ROUND(C1559, 0),Sheet2!$A$2:$A$21)</f>
        <v>46255</v>
      </c>
    </row>
    <row r="1560" spans="1:4" x14ac:dyDescent="0.25">
      <c r="A1560" s="42">
        <f t="shared" si="26"/>
        <v>1559</v>
      </c>
      <c r="B1560" s="42" cm="1">
        <f t="array" aca="1" ref="B1560" ca="1">INDEX(Historical!$A$1:$A$18, RANDBETWEEN(1, COUNTA(Historical!$A$1:$A$18)))</f>
        <v>1.303030303030303</v>
      </c>
      <c r="C1560" s="42">
        <f ca="1">Inputs!$B$2/B1560</f>
        <v>171.90697674418604</v>
      </c>
      <c r="D1560" s="43">
        <f ca="1">WORKDAY(Inputs!$B$3, ROUND(C1560, 0),Sheet2!$A$2:$A$21)</f>
        <v>46268</v>
      </c>
    </row>
    <row r="1561" spans="1:4" x14ac:dyDescent="0.25">
      <c r="A1561" s="42">
        <f t="shared" si="26"/>
        <v>1560</v>
      </c>
      <c r="B1561" s="42" cm="1">
        <f t="array" aca="1" ref="B1561" ca="1">INDEX(Historical!$A$1:$A$18, RANDBETWEEN(1, COUNTA(Historical!$A$1:$A$18)))</f>
        <v>1.3559322033898304</v>
      </c>
      <c r="C1561" s="42">
        <f ca="1">Inputs!$B$2/B1561</f>
        <v>165.20000000000002</v>
      </c>
      <c r="D1561" s="43">
        <f ca="1">WORKDAY(Inputs!$B$3, ROUND(C1561, 0),Sheet2!$A$2:$A$21)</f>
        <v>46259</v>
      </c>
    </row>
    <row r="1562" spans="1:4" x14ac:dyDescent="0.25">
      <c r="A1562" s="42">
        <f t="shared" si="26"/>
        <v>1561</v>
      </c>
      <c r="B1562" s="42" cm="1">
        <f t="array" aca="1" ref="B1562" ca="1">INDEX(Historical!$A$1:$A$18, RANDBETWEEN(1, COUNTA(Historical!$A$1:$A$18)))</f>
        <v>1.4038461538461537</v>
      </c>
      <c r="C1562" s="42">
        <f ca="1">Inputs!$B$2/B1562</f>
        <v>159.56164383561645</v>
      </c>
      <c r="D1562" s="43">
        <f ca="1">WORKDAY(Inputs!$B$3, ROUND(C1562, 0),Sheet2!$A$2:$A$21)</f>
        <v>46252</v>
      </c>
    </row>
    <row r="1563" spans="1:4" x14ac:dyDescent="0.25">
      <c r="A1563" s="42">
        <f t="shared" si="26"/>
        <v>1562</v>
      </c>
      <c r="B1563" s="42" cm="1">
        <f t="array" aca="1" ref="B1563" ca="1">INDEX(Historical!$A$1:$A$18, RANDBETWEEN(1, COUNTA(Historical!$A$1:$A$18)))</f>
        <v>1.3707865168539326</v>
      </c>
      <c r="C1563" s="42">
        <f ca="1">Inputs!$B$2/B1563</f>
        <v>163.40983606557376</v>
      </c>
      <c r="D1563" s="43">
        <f ca="1">WORKDAY(Inputs!$B$3, ROUND(C1563, 0),Sheet2!$A$2:$A$21)</f>
        <v>46255</v>
      </c>
    </row>
    <row r="1564" spans="1:4" x14ac:dyDescent="0.25">
      <c r="A1564" s="42">
        <f t="shared" si="26"/>
        <v>1563</v>
      </c>
      <c r="B1564" s="42" cm="1">
        <f t="array" aca="1" ref="B1564" ca="1">INDEX(Historical!$A$1:$A$18, RANDBETWEEN(1, COUNTA(Historical!$A$1:$A$18)))</f>
        <v>1.3157894736842106</v>
      </c>
      <c r="C1564" s="42">
        <f ca="1">Inputs!$B$2/B1564</f>
        <v>170.23999999999998</v>
      </c>
      <c r="D1564" s="43">
        <f ca="1">WORKDAY(Inputs!$B$3, ROUND(C1564, 0),Sheet2!$A$2:$A$21)</f>
        <v>46266</v>
      </c>
    </row>
    <row r="1565" spans="1:4" x14ac:dyDescent="0.25">
      <c r="A1565" s="42">
        <f t="shared" si="26"/>
        <v>1564</v>
      </c>
      <c r="B1565" s="42" cm="1">
        <f t="array" aca="1" ref="B1565" ca="1">INDEX(Historical!$A$1:$A$18, RANDBETWEEN(1, COUNTA(Historical!$A$1:$A$18)))</f>
        <v>1.3707865168539326</v>
      </c>
      <c r="C1565" s="42">
        <f ca="1">Inputs!$B$2/B1565</f>
        <v>163.40983606557376</v>
      </c>
      <c r="D1565" s="43">
        <f ca="1">WORKDAY(Inputs!$B$3, ROUND(C1565, 0),Sheet2!$A$2:$A$21)</f>
        <v>46255</v>
      </c>
    </row>
    <row r="1566" spans="1:4" x14ac:dyDescent="0.25">
      <c r="A1566" s="42">
        <f t="shared" si="26"/>
        <v>1565</v>
      </c>
      <c r="B1566" s="42" cm="1">
        <f t="array" aca="1" ref="B1566" ca="1">INDEX(Historical!$A$1:$A$18, RANDBETWEEN(1, COUNTA(Historical!$A$1:$A$18)))</f>
        <v>1.3214285714285714</v>
      </c>
      <c r="C1566" s="42">
        <f ca="1">Inputs!$B$2/B1566</f>
        <v>169.51351351351352</v>
      </c>
      <c r="D1566" s="43">
        <f ca="1">WORKDAY(Inputs!$B$3, ROUND(C1566, 0),Sheet2!$A$2:$A$21)</f>
        <v>46266</v>
      </c>
    </row>
    <row r="1567" spans="1:4" x14ac:dyDescent="0.25">
      <c r="A1567" s="42">
        <f t="shared" si="26"/>
        <v>1566</v>
      </c>
      <c r="B1567" s="42" cm="1">
        <f t="array" aca="1" ref="B1567" ca="1">INDEX(Historical!$A$1:$A$18, RANDBETWEEN(1, COUNTA(Historical!$A$1:$A$18)))</f>
        <v>1.4347826086956521</v>
      </c>
      <c r="C1567" s="42">
        <f ca="1">Inputs!$B$2/B1567</f>
        <v>156.12121212121212</v>
      </c>
      <c r="D1567" s="43">
        <f ca="1">WORKDAY(Inputs!$B$3, ROUND(C1567, 0),Sheet2!$A$2:$A$21)</f>
        <v>46246</v>
      </c>
    </row>
    <row r="1568" spans="1:4" x14ac:dyDescent="0.25">
      <c r="A1568" s="42">
        <f t="shared" si="26"/>
        <v>1567</v>
      </c>
      <c r="B1568" s="42" cm="1">
        <f t="array" aca="1" ref="B1568" ca="1">INDEX(Historical!$A$1:$A$18, RANDBETWEEN(1, COUNTA(Historical!$A$1:$A$18)))</f>
        <v>1.290909090909091</v>
      </c>
      <c r="C1568" s="42">
        <f ca="1">Inputs!$B$2/B1568</f>
        <v>173.52112676056336</v>
      </c>
      <c r="D1568" s="43">
        <f ca="1">WORKDAY(Inputs!$B$3, ROUND(C1568, 0),Sheet2!$A$2:$A$21)</f>
        <v>46273</v>
      </c>
    </row>
    <row r="1569" spans="1:4" x14ac:dyDescent="0.25">
      <c r="A1569" s="42">
        <f t="shared" si="26"/>
        <v>1568</v>
      </c>
      <c r="B1569" s="42" cm="1">
        <f t="array" aca="1" ref="B1569" ca="1">INDEX(Historical!$A$1:$A$18, RANDBETWEEN(1, COUNTA(Historical!$A$1:$A$18)))</f>
        <v>1.3157894736842106</v>
      </c>
      <c r="C1569" s="42">
        <f ca="1">Inputs!$B$2/B1569</f>
        <v>170.23999999999998</v>
      </c>
      <c r="D1569" s="43">
        <f ca="1">WORKDAY(Inputs!$B$3, ROUND(C1569, 0),Sheet2!$A$2:$A$21)</f>
        <v>46266</v>
      </c>
    </row>
    <row r="1570" spans="1:4" x14ac:dyDescent="0.25">
      <c r="A1570" s="42">
        <f t="shared" si="26"/>
        <v>1569</v>
      </c>
      <c r="B1570" s="42" cm="1">
        <f t="array" aca="1" ref="B1570" ca="1">INDEX(Historical!$A$1:$A$18, RANDBETWEEN(1, COUNTA(Historical!$A$1:$A$18)))</f>
        <v>1.4347826086956521</v>
      </c>
      <c r="C1570" s="42">
        <f ca="1">Inputs!$B$2/B1570</f>
        <v>156.12121212121212</v>
      </c>
      <c r="D1570" s="43">
        <f ca="1">WORKDAY(Inputs!$B$3, ROUND(C1570, 0),Sheet2!$A$2:$A$21)</f>
        <v>46246</v>
      </c>
    </row>
    <row r="1571" spans="1:4" x14ac:dyDescent="0.25">
      <c r="A1571" s="42">
        <f t="shared" si="26"/>
        <v>1570</v>
      </c>
      <c r="B1571" s="42" cm="1">
        <f t="array" aca="1" ref="B1571" ca="1">INDEX(Historical!$A$1:$A$18, RANDBETWEEN(1, COUNTA(Historical!$A$1:$A$18)))</f>
        <v>1.2941176470588236</v>
      </c>
      <c r="C1571" s="42">
        <f ca="1">Inputs!$B$2/B1571</f>
        <v>173.09090909090909</v>
      </c>
      <c r="D1571" s="43">
        <f ca="1">WORKDAY(Inputs!$B$3, ROUND(C1571, 0),Sheet2!$A$2:$A$21)</f>
        <v>46269</v>
      </c>
    </row>
    <row r="1572" spans="1:4" x14ac:dyDescent="0.25">
      <c r="A1572" s="42">
        <f t="shared" si="26"/>
        <v>1571</v>
      </c>
      <c r="B1572" s="42" cm="1">
        <f t="array" aca="1" ref="B1572" ca="1">INDEX(Historical!$A$1:$A$18, RANDBETWEEN(1, COUNTA(Historical!$A$1:$A$18)))</f>
        <v>1.3692307692307693</v>
      </c>
      <c r="C1572" s="42">
        <f ca="1">Inputs!$B$2/B1572</f>
        <v>163.59550561797752</v>
      </c>
      <c r="D1572" s="43">
        <f ca="1">WORKDAY(Inputs!$B$3, ROUND(C1572, 0),Sheet2!$A$2:$A$21)</f>
        <v>46258</v>
      </c>
    </row>
    <row r="1573" spans="1:4" x14ac:dyDescent="0.25">
      <c r="A1573" s="42">
        <f t="shared" si="26"/>
        <v>1572</v>
      </c>
      <c r="B1573" s="42" cm="1">
        <f t="array" aca="1" ref="B1573" ca="1">INDEX(Historical!$A$1:$A$18, RANDBETWEEN(1, COUNTA(Historical!$A$1:$A$18)))</f>
        <v>1.303030303030303</v>
      </c>
      <c r="C1573" s="42">
        <f ca="1">Inputs!$B$2/B1573</f>
        <v>171.90697674418604</v>
      </c>
      <c r="D1573" s="43">
        <f ca="1">WORKDAY(Inputs!$B$3, ROUND(C1573, 0),Sheet2!$A$2:$A$21)</f>
        <v>46268</v>
      </c>
    </row>
    <row r="1574" spans="1:4" x14ac:dyDescent="0.25">
      <c r="A1574" s="42">
        <f t="shared" si="26"/>
        <v>1573</v>
      </c>
      <c r="B1574" s="42" cm="1">
        <f t="array" aca="1" ref="B1574" ca="1">INDEX(Historical!$A$1:$A$18, RANDBETWEEN(1, COUNTA(Historical!$A$1:$A$18)))</f>
        <v>1.303030303030303</v>
      </c>
      <c r="C1574" s="42">
        <f ca="1">Inputs!$B$2/B1574</f>
        <v>171.90697674418604</v>
      </c>
      <c r="D1574" s="43">
        <f ca="1">WORKDAY(Inputs!$B$3, ROUND(C1574, 0),Sheet2!$A$2:$A$21)</f>
        <v>46268</v>
      </c>
    </row>
    <row r="1575" spans="1:4" x14ac:dyDescent="0.25">
      <c r="A1575" s="42">
        <f t="shared" si="26"/>
        <v>1574</v>
      </c>
      <c r="B1575" s="42" cm="1">
        <f t="array" aca="1" ref="B1575" ca="1">INDEX(Historical!$A$1:$A$18, RANDBETWEEN(1, COUNTA(Historical!$A$1:$A$18)))</f>
        <v>1.290909090909091</v>
      </c>
      <c r="C1575" s="42">
        <f ca="1">Inputs!$B$2/B1575</f>
        <v>173.52112676056336</v>
      </c>
      <c r="D1575" s="43">
        <f ca="1">WORKDAY(Inputs!$B$3, ROUND(C1575, 0),Sheet2!$A$2:$A$21)</f>
        <v>46273</v>
      </c>
    </row>
    <row r="1576" spans="1:4" x14ac:dyDescent="0.25">
      <c r="A1576" s="42">
        <f t="shared" si="26"/>
        <v>1575</v>
      </c>
      <c r="B1576" s="42" cm="1">
        <f t="array" aca="1" ref="B1576" ca="1">INDEX(Historical!$A$1:$A$18, RANDBETWEEN(1, COUNTA(Historical!$A$1:$A$18)))</f>
        <v>1.3611111111111112</v>
      </c>
      <c r="C1576" s="42">
        <f ca="1">Inputs!$B$2/B1576</f>
        <v>164.57142857142856</v>
      </c>
      <c r="D1576" s="43">
        <f ca="1">WORKDAY(Inputs!$B$3, ROUND(C1576, 0),Sheet2!$A$2:$A$21)</f>
        <v>46259</v>
      </c>
    </row>
    <row r="1577" spans="1:4" x14ac:dyDescent="0.25">
      <c r="A1577" s="42">
        <f t="shared" si="26"/>
        <v>1576</v>
      </c>
      <c r="B1577" s="42" cm="1">
        <f t="array" aca="1" ref="B1577" ca="1">INDEX(Historical!$A$1:$A$18, RANDBETWEEN(1, COUNTA(Historical!$A$1:$A$18)))</f>
        <v>1.2941176470588236</v>
      </c>
      <c r="C1577" s="42">
        <f ca="1">Inputs!$B$2/B1577</f>
        <v>173.09090909090909</v>
      </c>
      <c r="D1577" s="43">
        <f ca="1">WORKDAY(Inputs!$B$3, ROUND(C1577, 0),Sheet2!$A$2:$A$21)</f>
        <v>46269</v>
      </c>
    </row>
    <row r="1578" spans="1:4" x14ac:dyDescent="0.25">
      <c r="A1578" s="42">
        <f t="shared" si="26"/>
        <v>1577</v>
      </c>
      <c r="B1578" s="42" cm="1">
        <f t="array" aca="1" ref="B1578" ca="1">INDEX(Historical!$A$1:$A$18, RANDBETWEEN(1, COUNTA(Historical!$A$1:$A$18)))</f>
        <v>1.3611111111111112</v>
      </c>
      <c r="C1578" s="42">
        <f ca="1">Inputs!$B$2/B1578</f>
        <v>164.57142857142856</v>
      </c>
      <c r="D1578" s="43">
        <f ca="1">WORKDAY(Inputs!$B$3, ROUND(C1578, 0),Sheet2!$A$2:$A$21)</f>
        <v>46259</v>
      </c>
    </row>
    <row r="1579" spans="1:4" x14ac:dyDescent="0.25">
      <c r="A1579" s="42">
        <f t="shared" si="26"/>
        <v>1578</v>
      </c>
      <c r="B1579" s="42" cm="1">
        <f t="array" aca="1" ref="B1579" ca="1">INDEX(Historical!$A$1:$A$18, RANDBETWEEN(1, COUNTA(Historical!$A$1:$A$18)))</f>
        <v>1.375</v>
      </c>
      <c r="C1579" s="42">
        <f ca="1">Inputs!$B$2/B1579</f>
        <v>162.90909090909091</v>
      </c>
      <c r="D1579" s="43">
        <f ca="1">WORKDAY(Inputs!$B$3, ROUND(C1579, 0),Sheet2!$A$2:$A$21)</f>
        <v>46255</v>
      </c>
    </row>
    <row r="1580" spans="1:4" x14ac:dyDescent="0.25">
      <c r="A1580" s="42">
        <f t="shared" si="26"/>
        <v>1579</v>
      </c>
      <c r="B1580" s="42" cm="1">
        <f t="array" aca="1" ref="B1580" ca="1">INDEX(Historical!$A$1:$A$18, RANDBETWEEN(1, COUNTA(Historical!$A$1:$A$18)))</f>
        <v>1.3157894736842106</v>
      </c>
      <c r="C1580" s="42">
        <f ca="1">Inputs!$B$2/B1580</f>
        <v>170.23999999999998</v>
      </c>
      <c r="D1580" s="43">
        <f ca="1">WORKDAY(Inputs!$B$3, ROUND(C1580, 0),Sheet2!$A$2:$A$21)</f>
        <v>46266</v>
      </c>
    </row>
    <row r="1581" spans="1:4" x14ac:dyDescent="0.25">
      <c r="A1581" s="42">
        <f t="shared" si="26"/>
        <v>1580</v>
      </c>
      <c r="B1581" s="42" cm="1">
        <f t="array" aca="1" ref="B1581" ca="1">INDEX(Historical!$A$1:$A$18, RANDBETWEEN(1, COUNTA(Historical!$A$1:$A$18)))</f>
        <v>1.3707865168539326</v>
      </c>
      <c r="C1581" s="42">
        <f ca="1">Inputs!$B$2/B1581</f>
        <v>163.40983606557376</v>
      </c>
      <c r="D1581" s="43">
        <f ca="1">WORKDAY(Inputs!$B$3, ROUND(C1581, 0),Sheet2!$A$2:$A$21)</f>
        <v>46255</v>
      </c>
    </row>
    <row r="1582" spans="1:4" x14ac:dyDescent="0.25">
      <c r="A1582" s="42">
        <f t="shared" si="26"/>
        <v>1581</v>
      </c>
      <c r="B1582" s="42" cm="1">
        <f t="array" aca="1" ref="B1582" ca="1">INDEX(Historical!$A$1:$A$18, RANDBETWEEN(1, COUNTA(Historical!$A$1:$A$18)))</f>
        <v>1.3617021276595744</v>
      </c>
      <c r="C1582" s="42">
        <f ca="1">Inputs!$B$2/B1582</f>
        <v>164.5</v>
      </c>
      <c r="D1582" s="43">
        <f ca="1">WORKDAY(Inputs!$B$3, ROUND(C1582, 0),Sheet2!$A$2:$A$21)</f>
        <v>46259</v>
      </c>
    </row>
    <row r="1583" spans="1:4" x14ac:dyDescent="0.25">
      <c r="A1583" s="42">
        <f t="shared" si="26"/>
        <v>1582</v>
      </c>
      <c r="B1583" s="42" cm="1">
        <f t="array" aca="1" ref="B1583" ca="1">INDEX(Historical!$A$1:$A$18, RANDBETWEEN(1, COUNTA(Historical!$A$1:$A$18)))</f>
        <v>1.4347826086956521</v>
      </c>
      <c r="C1583" s="42">
        <f ca="1">Inputs!$B$2/B1583</f>
        <v>156.12121212121212</v>
      </c>
      <c r="D1583" s="43">
        <f ca="1">WORKDAY(Inputs!$B$3, ROUND(C1583, 0),Sheet2!$A$2:$A$21)</f>
        <v>46246</v>
      </c>
    </row>
    <row r="1584" spans="1:4" x14ac:dyDescent="0.25">
      <c r="A1584" s="42">
        <f t="shared" si="26"/>
        <v>1583</v>
      </c>
      <c r="B1584" s="42" cm="1">
        <f t="array" aca="1" ref="B1584" ca="1">INDEX(Historical!$A$1:$A$18, RANDBETWEEN(1, COUNTA(Historical!$A$1:$A$18)))</f>
        <v>1.3214285714285714</v>
      </c>
      <c r="C1584" s="42">
        <f ca="1">Inputs!$B$2/B1584</f>
        <v>169.51351351351352</v>
      </c>
      <c r="D1584" s="43">
        <f ca="1">WORKDAY(Inputs!$B$3, ROUND(C1584, 0),Sheet2!$A$2:$A$21)</f>
        <v>46266</v>
      </c>
    </row>
    <row r="1585" spans="1:4" x14ac:dyDescent="0.25">
      <c r="A1585" s="42">
        <f t="shared" si="26"/>
        <v>1584</v>
      </c>
      <c r="B1585" s="42" cm="1">
        <f t="array" aca="1" ref="B1585" ca="1">INDEX(Historical!$A$1:$A$18, RANDBETWEEN(1, COUNTA(Historical!$A$1:$A$18)))</f>
        <v>1.3692307692307693</v>
      </c>
      <c r="C1585" s="42">
        <f ca="1">Inputs!$B$2/B1585</f>
        <v>163.59550561797752</v>
      </c>
      <c r="D1585" s="43">
        <f ca="1">WORKDAY(Inputs!$B$3, ROUND(C1585, 0),Sheet2!$A$2:$A$21)</f>
        <v>46258</v>
      </c>
    </row>
    <row r="1586" spans="1:4" x14ac:dyDescent="0.25">
      <c r="A1586" s="42">
        <f t="shared" si="26"/>
        <v>1585</v>
      </c>
      <c r="B1586" s="42" cm="1">
        <f t="array" aca="1" ref="B1586" ca="1">INDEX(Historical!$A$1:$A$18, RANDBETWEEN(1, COUNTA(Historical!$A$1:$A$18)))</f>
        <v>1.1666666666666667</v>
      </c>
      <c r="C1586" s="42">
        <f ca="1">Inputs!$B$2/B1586</f>
        <v>192</v>
      </c>
      <c r="D1586" s="43">
        <f ca="1">WORKDAY(Inputs!$B$3, ROUND(C1586, 0),Sheet2!$A$2:$A$21)</f>
        <v>46297</v>
      </c>
    </row>
    <row r="1587" spans="1:4" x14ac:dyDescent="0.25">
      <c r="A1587" s="42">
        <f t="shared" si="26"/>
        <v>1586</v>
      </c>
      <c r="B1587" s="42" cm="1">
        <f t="array" aca="1" ref="B1587" ca="1">INDEX(Historical!$A$1:$A$18, RANDBETWEEN(1, COUNTA(Historical!$A$1:$A$18)))</f>
        <v>1.290909090909091</v>
      </c>
      <c r="C1587" s="42">
        <f ca="1">Inputs!$B$2/B1587</f>
        <v>173.52112676056336</v>
      </c>
      <c r="D1587" s="43">
        <f ca="1">WORKDAY(Inputs!$B$3, ROUND(C1587, 0),Sheet2!$A$2:$A$21)</f>
        <v>46273</v>
      </c>
    </row>
    <row r="1588" spans="1:4" x14ac:dyDescent="0.25">
      <c r="A1588" s="42">
        <f t="shared" si="26"/>
        <v>1587</v>
      </c>
      <c r="B1588" s="42" cm="1">
        <f t="array" aca="1" ref="B1588" ca="1">INDEX(Historical!$A$1:$A$18, RANDBETWEEN(1, COUNTA(Historical!$A$1:$A$18)))</f>
        <v>1.4761904761904763</v>
      </c>
      <c r="C1588" s="42">
        <f ca="1">Inputs!$B$2/B1588</f>
        <v>151.74193548387095</v>
      </c>
      <c r="D1588" s="43">
        <f ca="1">WORKDAY(Inputs!$B$3, ROUND(C1588, 0),Sheet2!$A$2:$A$21)</f>
        <v>46240</v>
      </c>
    </row>
    <row r="1589" spans="1:4" x14ac:dyDescent="0.25">
      <c r="A1589" s="42">
        <f t="shared" si="26"/>
        <v>1588</v>
      </c>
      <c r="B1589" s="42" cm="1">
        <f t="array" aca="1" ref="B1589" ca="1">INDEX(Historical!$A$1:$A$18, RANDBETWEEN(1, COUNTA(Historical!$A$1:$A$18)))</f>
        <v>1.3214285714285714</v>
      </c>
      <c r="C1589" s="42">
        <f ca="1">Inputs!$B$2/B1589</f>
        <v>169.51351351351352</v>
      </c>
      <c r="D1589" s="43">
        <f ca="1">WORKDAY(Inputs!$B$3, ROUND(C1589, 0),Sheet2!$A$2:$A$21)</f>
        <v>46266</v>
      </c>
    </row>
    <row r="1590" spans="1:4" x14ac:dyDescent="0.25">
      <c r="A1590" s="42">
        <f t="shared" si="26"/>
        <v>1589</v>
      </c>
      <c r="B1590" s="42" cm="1">
        <f t="array" aca="1" ref="B1590" ca="1">INDEX(Historical!$A$1:$A$18, RANDBETWEEN(1, COUNTA(Historical!$A$1:$A$18)))</f>
        <v>1.3157894736842106</v>
      </c>
      <c r="C1590" s="42">
        <f ca="1">Inputs!$B$2/B1590</f>
        <v>170.23999999999998</v>
      </c>
      <c r="D1590" s="43">
        <f ca="1">WORKDAY(Inputs!$B$3, ROUND(C1590, 0),Sheet2!$A$2:$A$21)</f>
        <v>46266</v>
      </c>
    </row>
    <row r="1591" spans="1:4" x14ac:dyDescent="0.25">
      <c r="A1591" s="42">
        <f t="shared" si="26"/>
        <v>1590</v>
      </c>
      <c r="B1591" s="42" cm="1">
        <f t="array" aca="1" ref="B1591" ca="1">INDEX(Historical!$A$1:$A$18, RANDBETWEEN(1, COUNTA(Historical!$A$1:$A$18)))</f>
        <v>1.2941176470588236</v>
      </c>
      <c r="C1591" s="42">
        <f ca="1">Inputs!$B$2/B1591</f>
        <v>173.09090909090909</v>
      </c>
      <c r="D1591" s="43">
        <f ca="1">WORKDAY(Inputs!$B$3, ROUND(C1591, 0),Sheet2!$A$2:$A$21)</f>
        <v>46269</v>
      </c>
    </row>
    <row r="1592" spans="1:4" x14ac:dyDescent="0.25">
      <c r="A1592" s="42">
        <f t="shared" si="26"/>
        <v>1591</v>
      </c>
      <c r="B1592" s="42" cm="1">
        <f t="array" aca="1" ref="B1592" ca="1">INDEX(Historical!$A$1:$A$18, RANDBETWEEN(1, COUNTA(Historical!$A$1:$A$18)))</f>
        <v>1.3611111111111112</v>
      </c>
      <c r="C1592" s="42">
        <f ca="1">Inputs!$B$2/B1592</f>
        <v>164.57142857142856</v>
      </c>
      <c r="D1592" s="43">
        <f ca="1">WORKDAY(Inputs!$B$3, ROUND(C1592, 0),Sheet2!$A$2:$A$21)</f>
        <v>46259</v>
      </c>
    </row>
    <row r="1593" spans="1:4" x14ac:dyDescent="0.25">
      <c r="A1593" s="42">
        <f t="shared" si="26"/>
        <v>1592</v>
      </c>
      <c r="B1593" s="42" cm="1">
        <f t="array" aca="1" ref="B1593" ca="1">INDEX(Historical!$A$1:$A$18, RANDBETWEEN(1, COUNTA(Historical!$A$1:$A$18)))</f>
        <v>1.3559322033898304</v>
      </c>
      <c r="C1593" s="42">
        <f ca="1">Inputs!$B$2/B1593</f>
        <v>165.20000000000002</v>
      </c>
      <c r="D1593" s="43">
        <f ca="1">WORKDAY(Inputs!$B$3, ROUND(C1593, 0),Sheet2!$A$2:$A$21)</f>
        <v>46259</v>
      </c>
    </row>
    <row r="1594" spans="1:4" x14ac:dyDescent="0.25">
      <c r="A1594" s="42">
        <f t="shared" si="26"/>
        <v>1593</v>
      </c>
      <c r="B1594" s="42" cm="1">
        <f t="array" aca="1" ref="B1594" ca="1">INDEX(Historical!$A$1:$A$18, RANDBETWEEN(1, COUNTA(Historical!$A$1:$A$18)))</f>
        <v>1.4137931034482758</v>
      </c>
      <c r="C1594" s="42">
        <f ca="1">Inputs!$B$2/B1594</f>
        <v>158.4390243902439</v>
      </c>
      <c r="D1594" s="43">
        <f ca="1">WORKDAY(Inputs!$B$3, ROUND(C1594, 0),Sheet2!$A$2:$A$21)</f>
        <v>46248</v>
      </c>
    </row>
    <row r="1595" spans="1:4" x14ac:dyDescent="0.25">
      <c r="A1595" s="42">
        <f t="shared" si="26"/>
        <v>1594</v>
      </c>
      <c r="B1595" s="42" cm="1">
        <f t="array" aca="1" ref="B1595" ca="1">INDEX(Historical!$A$1:$A$18, RANDBETWEEN(1, COUNTA(Historical!$A$1:$A$18)))</f>
        <v>1.4038461538461537</v>
      </c>
      <c r="C1595" s="42">
        <f ca="1">Inputs!$B$2/B1595</f>
        <v>159.56164383561645</v>
      </c>
      <c r="D1595" s="43">
        <f ca="1">WORKDAY(Inputs!$B$3, ROUND(C1595, 0),Sheet2!$A$2:$A$21)</f>
        <v>46252</v>
      </c>
    </row>
    <row r="1596" spans="1:4" x14ac:dyDescent="0.25">
      <c r="A1596" s="42">
        <f t="shared" si="26"/>
        <v>1595</v>
      </c>
      <c r="B1596" s="42" cm="1">
        <f t="array" aca="1" ref="B1596" ca="1">INDEX(Historical!$A$1:$A$18, RANDBETWEEN(1, COUNTA(Historical!$A$1:$A$18)))</f>
        <v>1.368421052631579</v>
      </c>
      <c r="C1596" s="42">
        <f ca="1">Inputs!$B$2/B1596</f>
        <v>163.69230769230768</v>
      </c>
      <c r="D1596" s="43">
        <f ca="1">WORKDAY(Inputs!$B$3, ROUND(C1596, 0),Sheet2!$A$2:$A$21)</f>
        <v>46258</v>
      </c>
    </row>
    <row r="1597" spans="1:4" x14ac:dyDescent="0.25">
      <c r="A1597" s="42">
        <f t="shared" si="26"/>
        <v>1596</v>
      </c>
      <c r="B1597" s="42" cm="1">
        <f t="array" aca="1" ref="B1597" ca="1">INDEX(Historical!$A$1:$A$18, RANDBETWEEN(1, COUNTA(Historical!$A$1:$A$18)))</f>
        <v>1.4137931034482758</v>
      </c>
      <c r="C1597" s="42">
        <f ca="1">Inputs!$B$2/B1597</f>
        <v>158.4390243902439</v>
      </c>
      <c r="D1597" s="43">
        <f ca="1">WORKDAY(Inputs!$B$3, ROUND(C1597, 0),Sheet2!$A$2:$A$21)</f>
        <v>46248</v>
      </c>
    </row>
    <row r="1598" spans="1:4" x14ac:dyDescent="0.25">
      <c r="A1598" s="42">
        <f t="shared" si="26"/>
        <v>1597</v>
      </c>
      <c r="B1598" s="42" cm="1">
        <f t="array" aca="1" ref="B1598" ca="1">INDEX(Historical!$A$1:$A$18, RANDBETWEEN(1, COUNTA(Historical!$A$1:$A$18)))</f>
        <v>1.3611111111111112</v>
      </c>
      <c r="C1598" s="42">
        <f ca="1">Inputs!$B$2/B1598</f>
        <v>164.57142857142856</v>
      </c>
      <c r="D1598" s="43">
        <f ca="1">WORKDAY(Inputs!$B$3, ROUND(C1598, 0),Sheet2!$A$2:$A$21)</f>
        <v>46259</v>
      </c>
    </row>
    <row r="1599" spans="1:4" x14ac:dyDescent="0.25">
      <c r="A1599" s="42">
        <f t="shared" si="26"/>
        <v>1598</v>
      </c>
      <c r="B1599" s="42" cm="1">
        <f t="array" aca="1" ref="B1599" ca="1">INDEX(Historical!$A$1:$A$18, RANDBETWEEN(1, COUNTA(Historical!$A$1:$A$18)))</f>
        <v>1.4038461538461537</v>
      </c>
      <c r="C1599" s="42">
        <f ca="1">Inputs!$B$2/B1599</f>
        <v>159.56164383561645</v>
      </c>
      <c r="D1599" s="43">
        <f ca="1">WORKDAY(Inputs!$B$3, ROUND(C1599, 0),Sheet2!$A$2:$A$21)</f>
        <v>46252</v>
      </c>
    </row>
    <row r="1600" spans="1:4" x14ac:dyDescent="0.25">
      <c r="A1600" s="42">
        <f t="shared" si="26"/>
        <v>1599</v>
      </c>
      <c r="B1600" s="42" cm="1">
        <f t="array" aca="1" ref="B1600" ca="1">INDEX(Historical!$A$1:$A$18, RANDBETWEEN(1, COUNTA(Historical!$A$1:$A$18)))</f>
        <v>1.368421052631579</v>
      </c>
      <c r="C1600" s="42">
        <f ca="1">Inputs!$B$2/B1600</f>
        <v>163.69230769230768</v>
      </c>
      <c r="D1600" s="43">
        <f ca="1">WORKDAY(Inputs!$B$3, ROUND(C1600, 0),Sheet2!$A$2:$A$21)</f>
        <v>46258</v>
      </c>
    </row>
    <row r="1601" spans="1:4" x14ac:dyDescent="0.25">
      <c r="A1601" s="42">
        <f t="shared" si="26"/>
        <v>1600</v>
      </c>
      <c r="B1601" s="42" cm="1">
        <f t="array" aca="1" ref="B1601" ca="1">INDEX(Historical!$A$1:$A$18, RANDBETWEEN(1, COUNTA(Historical!$A$1:$A$18)))</f>
        <v>1.375</v>
      </c>
      <c r="C1601" s="42">
        <f ca="1">Inputs!$B$2/B1601</f>
        <v>162.90909090909091</v>
      </c>
      <c r="D1601" s="43">
        <f ca="1">WORKDAY(Inputs!$B$3, ROUND(C1601, 0),Sheet2!$A$2:$A$21)</f>
        <v>46255</v>
      </c>
    </row>
    <row r="1602" spans="1:4" x14ac:dyDescent="0.25">
      <c r="A1602" s="42">
        <f t="shared" si="26"/>
        <v>1601</v>
      </c>
      <c r="B1602" s="42" cm="1">
        <f t="array" aca="1" ref="B1602" ca="1">INDEX(Historical!$A$1:$A$18, RANDBETWEEN(1, COUNTA(Historical!$A$1:$A$18)))</f>
        <v>1.3617021276595744</v>
      </c>
      <c r="C1602" s="42">
        <f ca="1">Inputs!$B$2/B1602</f>
        <v>164.5</v>
      </c>
      <c r="D1602" s="43">
        <f ca="1">WORKDAY(Inputs!$B$3, ROUND(C1602, 0),Sheet2!$A$2:$A$21)</f>
        <v>46259</v>
      </c>
    </row>
    <row r="1603" spans="1:4" x14ac:dyDescent="0.25">
      <c r="A1603" s="42">
        <f t="shared" ref="A1603:A1666" si="27">ROW()-1</f>
        <v>1602</v>
      </c>
      <c r="B1603" s="42" cm="1">
        <f t="array" aca="1" ref="B1603" ca="1">INDEX(Historical!$A$1:$A$18, RANDBETWEEN(1, COUNTA(Historical!$A$1:$A$18)))</f>
        <v>1.303030303030303</v>
      </c>
      <c r="C1603" s="42">
        <f ca="1">Inputs!$B$2/B1603</f>
        <v>171.90697674418604</v>
      </c>
      <c r="D1603" s="43">
        <f ca="1">WORKDAY(Inputs!$B$3, ROUND(C1603, 0),Sheet2!$A$2:$A$21)</f>
        <v>46268</v>
      </c>
    </row>
    <row r="1604" spans="1:4" x14ac:dyDescent="0.25">
      <c r="A1604" s="42">
        <f t="shared" si="27"/>
        <v>1603</v>
      </c>
      <c r="B1604" s="42" cm="1">
        <f t="array" aca="1" ref="B1604" ca="1">INDEX(Historical!$A$1:$A$18, RANDBETWEEN(1, COUNTA(Historical!$A$1:$A$18)))</f>
        <v>1.3707865168539326</v>
      </c>
      <c r="C1604" s="42">
        <f ca="1">Inputs!$B$2/B1604</f>
        <v>163.40983606557376</v>
      </c>
      <c r="D1604" s="43">
        <f ca="1">WORKDAY(Inputs!$B$3, ROUND(C1604, 0),Sheet2!$A$2:$A$21)</f>
        <v>46255</v>
      </c>
    </row>
    <row r="1605" spans="1:4" x14ac:dyDescent="0.25">
      <c r="A1605" s="42">
        <f t="shared" si="27"/>
        <v>1604</v>
      </c>
      <c r="B1605" s="42" cm="1">
        <f t="array" aca="1" ref="B1605" ca="1">INDEX(Historical!$A$1:$A$18, RANDBETWEEN(1, COUNTA(Historical!$A$1:$A$18)))</f>
        <v>1.375</v>
      </c>
      <c r="C1605" s="42">
        <f ca="1">Inputs!$B$2/B1605</f>
        <v>162.90909090909091</v>
      </c>
      <c r="D1605" s="43">
        <f ca="1">WORKDAY(Inputs!$B$3, ROUND(C1605, 0),Sheet2!$A$2:$A$21)</f>
        <v>46255</v>
      </c>
    </row>
    <row r="1606" spans="1:4" x14ac:dyDescent="0.25">
      <c r="A1606" s="42">
        <f t="shared" si="27"/>
        <v>1605</v>
      </c>
      <c r="B1606" s="42" cm="1">
        <f t="array" aca="1" ref="B1606" ca="1">INDEX(Historical!$A$1:$A$18, RANDBETWEEN(1, COUNTA(Historical!$A$1:$A$18)))</f>
        <v>1.3214285714285714</v>
      </c>
      <c r="C1606" s="42">
        <f ca="1">Inputs!$B$2/B1606</f>
        <v>169.51351351351352</v>
      </c>
      <c r="D1606" s="43">
        <f ca="1">WORKDAY(Inputs!$B$3, ROUND(C1606, 0),Sheet2!$A$2:$A$21)</f>
        <v>46266</v>
      </c>
    </row>
    <row r="1607" spans="1:4" x14ac:dyDescent="0.25">
      <c r="A1607" s="42">
        <f t="shared" si="27"/>
        <v>1606</v>
      </c>
      <c r="B1607" s="42" cm="1">
        <f t="array" aca="1" ref="B1607" ca="1">INDEX(Historical!$A$1:$A$18, RANDBETWEEN(1, COUNTA(Historical!$A$1:$A$18)))</f>
        <v>1.303030303030303</v>
      </c>
      <c r="C1607" s="42">
        <f ca="1">Inputs!$B$2/B1607</f>
        <v>171.90697674418604</v>
      </c>
      <c r="D1607" s="43">
        <f ca="1">WORKDAY(Inputs!$B$3, ROUND(C1607, 0),Sheet2!$A$2:$A$21)</f>
        <v>46268</v>
      </c>
    </row>
    <row r="1608" spans="1:4" x14ac:dyDescent="0.25">
      <c r="A1608" s="42">
        <f t="shared" si="27"/>
        <v>1607</v>
      </c>
      <c r="B1608" s="42" cm="1">
        <f t="array" aca="1" ref="B1608" ca="1">INDEX(Historical!$A$1:$A$18, RANDBETWEEN(1, COUNTA(Historical!$A$1:$A$18)))</f>
        <v>1.5</v>
      </c>
      <c r="C1608" s="42">
        <f ca="1">Inputs!$B$2/B1608</f>
        <v>149.33333333333334</v>
      </c>
      <c r="D1608" s="43">
        <f ca="1">WORKDAY(Inputs!$B$3, ROUND(C1608, 0),Sheet2!$A$2:$A$21)</f>
        <v>46237</v>
      </c>
    </row>
    <row r="1609" spans="1:4" x14ac:dyDescent="0.25">
      <c r="A1609" s="42">
        <f t="shared" si="27"/>
        <v>1608</v>
      </c>
      <c r="B1609" s="42" cm="1">
        <f t="array" aca="1" ref="B1609" ca="1">INDEX(Historical!$A$1:$A$18, RANDBETWEEN(1, COUNTA(Historical!$A$1:$A$18)))</f>
        <v>1.3157894736842106</v>
      </c>
      <c r="C1609" s="42">
        <f ca="1">Inputs!$B$2/B1609</f>
        <v>170.23999999999998</v>
      </c>
      <c r="D1609" s="43">
        <f ca="1">WORKDAY(Inputs!$B$3, ROUND(C1609, 0),Sheet2!$A$2:$A$21)</f>
        <v>46266</v>
      </c>
    </row>
    <row r="1610" spans="1:4" x14ac:dyDescent="0.25">
      <c r="A1610" s="42">
        <f t="shared" si="27"/>
        <v>1609</v>
      </c>
      <c r="B1610" s="42" cm="1">
        <f t="array" aca="1" ref="B1610" ca="1">INDEX(Historical!$A$1:$A$18, RANDBETWEEN(1, COUNTA(Historical!$A$1:$A$18)))</f>
        <v>1.5</v>
      </c>
      <c r="C1610" s="42">
        <f ca="1">Inputs!$B$2/B1610</f>
        <v>149.33333333333334</v>
      </c>
      <c r="D1610" s="43">
        <f ca="1">WORKDAY(Inputs!$B$3, ROUND(C1610, 0),Sheet2!$A$2:$A$21)</f>
        <v>46237</v>
      </c>
    </row>
    <row r="1611" spans="1:4" x14ac:dyDescent="0.25">
      <c r="A1611" s="42">
        <f t="shared" si="27"/>
        <v>1610</v>
      </c>
      <c r="B1611" s="42" cm="1">
        <f t="array" aca="1" ref="B1611" ca="1">INDEX(Historical!$A$1:$A$18, RANDBETWEEN(1, COUNTA(Historical!$A$1:$A$18)))</f>
        <v>1.4038461538461537</v>
      </c>
      <c r="C1611" s="42">
        <f ca="1">Inputs!$B$2/B1611</f>
        <v>159.56164383561645</v>
      </c>
      <c r="D1611" s="43">
        <f ca="1">WORKDAY(Inputs!$B$3, ROUND(C1611, 0),Sheet2!$A$2:$A$21)</f>
        <v>46252</v>
      </c>
    </row>
    <row r="1612" spans="1:4" x14ac:dyDescent="0.25">
      <c r="A1612" s="42">
        <f t="shared" si="27"/>
        <v>1611</v>
      </c>
      <c r="B1612" s="42" cm="1">
        <f t="array" aca="1" ref="B1612" ca="1">INDEX(Historical!$A$1:$A$18, RANDBETWEEN(1, COUNTA(Historical!$A$1:$A$18)))</f>
        <v>1.368421052631579</v>
      </c>
      <c r="C1612" s="42">
        <f ca="1">Inputs!$B$2/B1612</f>
        <v>163.69230769230768</v>
      </c>
      <c r="D1612" s="43">
        <f ca="1">WORKDAY(Inputs!$B$3, ROUND(C1612, 0),Sheet2!$A$2:$A$21)</f>
        <v>46258</v>
      </c>
    </row>
    <row r="1613" spans="1:4" x14ac:dyDescent="0.25">
      <c r="A1613" s="42">
        <f t="shared" si="27"/>
        <v>1612</v>
      </c>
      <c r="B1613" s="42" cm="1">
        <f t="array" aca="1" ref="B1613" ca="1">INDEX(Historical!$A$1:$A$18, RANDBETWEEN(1, COUNTA(Historical!$A$1:$A$18)))</f>
        <v>1.1666666666666667</v>
      </c>
      <c r="C1613" s="42">
        <f ca="1">Inputs!$B$2/B1613</f>
        <v>192</v>
      </c>
      <c r="D1613" s="43">
        <f ca="1">WORKDAY(Inputs!$B$3, ROUND(C1613, 0),Sheet2!$A$2:$A$21)</f>
        <v>46297</v>
      </c>
    </row>
    <row r="1614" spans="1:4" x14ac:dyDescent="0.25">
      <c r="A1614" s="42">
        <f t="shared" si="27"/>
        <v>1613</v>
      </c>
      <c r="B1614" s="42" cm="1">
        <f t="array" aca="1" ref="B1614" ca="1">INDEX(Historical!$A$1:$A$18, RANDBETWEEN(1, COUNTA(Historical!$A$1:$A$18)))</f>
        <v>1.1666666666666667</v>
      </c>
      <c r="C1614" s="42">
        <f ca="1">Inputs!$B$2/B1614</f>
        <v>192</v>
      </c>
      <c r="D1614" s="43">
        <f ca="1">WORKDAY(Inputs!$B$3, ROUND(C1614, 0),Sheet2!$A$2:$A$21)</f>
        <v>46297</v>
      </c>
    </row>
    <row r="1615" spans="1:4" x14ac:dyDescent="0.25">
      <c r="A1615" s="42">
        <f t="shared" si="27"/>
        <v>1614</v>
      </c>
      <c r="B1615" s="42" cm="1">
        <f t="array" aca="1" ref="B1615" ca="1">INDEX(Historical!$A$1:$A$18, RANDBETWEEN(1, COUNTA(Historical!$A$1:$A$18)))</f>
        <v>1.3692307692307693</v>
      </c>
      <c r="C1615" s="42">
        <f ca="1">Inputs!$B$2/B1615</f>
        <v>163.59550561797752</v>
      </c>
      <c r="D1615" s="43">
        <f ca="1">WORKDAY(Inputs!$B$3, ROUND(C1615, 0),Sheet2!$A$2:$A$21)</f>
        <v>46258</v>
      </c>
    </row>
    <row r="1616" spans="1:4" x14ac:dyDescent="0.25">
      <c r="A1616" s="42">
        <f t="shared" si="27"/>
        <v>1615</v>
      </c>
      <c r="B1616" s="42" cm="1">
        <f t="array" aca="1" ref="B1616" ca="1">INDEX(Historical!$A$1:$A$18, RANDBETWEEN(1, COUNTA(Historical!$A$1:$A$18)))</f>
        <v>1.3559322033898304</v>
      </c>
      <c r="C1616" s="42">
        <f ca="1">Inputs!$B$2/B1616</f>
        <v>165.20000000000002</v>
      </c>
      <c r="D1616" s="43">
        <f ca="1">WORKDAY(Inputs!$B$3, ROUND(C1616, 0),Sheet2!$A$2:$A$21)</f>
        <v>46259</v>
      </c>
    </row>
    <row r="1617" spans="1:4" x14ac:dyDescent="0.25">
      <c r="A1617" s="42">
        <f t="shared" si="27"/>
        <v>1616</v>
      </c>
      <c r="B1617" s="42" cm="1">
        <f t="array" aca="1" ref="B1617" ca="1">INDEX(Historical!$A$1:$A$18, RANDBETWEEN(1, COUNTA(Historical!$A$1:$A$18)))</f>
        <v>1.375</v>
      </c>
      <c r="C1617" s="42">
        <f ca="1">Inputs!$B$2/B1617</f>
        <v>162.90909090909091</v>
      </c>
      <c r="D1617" s="43">
        <f ca="1">WORKDAY(Inputs!$B$3, ROUND(C1617, 0),Sheet2!$A$2:$A$21)</f>
        <v>46255</v>
      </c>
    </row>
    <row r="1618" spans="1:4" x14ac:dyDescent="0.25">
      <c r="A1618" s="42">
        <f t="shared" si="27"/>
        <v>1617</v>
      </c>
      <c r="B1618" s="42" cm="1">
        <f t="array" aca="1" ref="B1618" ca="1">INDEX(Historical!$A$1:$A$18, RANDBETWEEN(1, COUNTA(Historical!$A$1:$A$18)))</f>
        <v>1.3692307692307693</v>
      </c>
      <c r="C1618" s="42">
        <f ca="1">Inputs!$B$2/B1618</f>
        <v>163.59550561797752</v>
      </c>
      <c r="D1618" s="43">
        <f ca="1">WORKDAY(Inputs!$B$3, ROUND(C1618, 0),Sheet2!$A$2:$A$21)</f>
        <v>46258</v>
      </c>
    </row>
    <row r="1619" spans="1:4" x14ac:dyDescent="0.25">
      <c r="A1619" s="42">
        <f t="shared" si="27"/>
        <v>1618</v>
      </c>
      <c r="B1619" s="42" cm="1">
        <f t="array" aca="1" ref="B1619" ca="1">INDEX(Historical!$A$1:$A$18, RANDBETWEEN(1, COUNTA(Historical!$A$1:$A$18)))</f>
        <v>1.3617021276595744</v>
      </c>
      <c r="C1619" s="42">
        <f ca="1">Inputs!$B$2/B1619</f>
        <v>164.5</v>
      </c>
      <c r="D1619" s="43">
        <f ca="1">WORKDAY(Inputs!$B$3, ROUND(C1619, 0),Sheet2!$A$2:$A$21)</f>
        <v>46259</v>
      </c>
    </row>
    <row r="1620" spans="1:4" x14ac:dyDescent="0.25">
      <c r="A1620" s="42">
        <f t="shared" si="27"/>
        <v>1619</v>
      </c>
      <c r="B1620" s="42" cm="1">
        <f t="array" aca="1" ref="B1620" ca="1">INDEX(Historical!$A$1:$A$18, RANDBETWEEN(1, COUNTA(Historical!$A$1:$A$18)))</f>
        <v>1.4038461538461537</v>
      </c>
      <c r="C1620" s="42">
        <f ca="1">Inputs!$B$2/B1620</f>
        <v>159.56164383561645</v>
      </c>
      <c r="D1620" s="43">
        <f ca="1">WORKDAY(Inputs!$B$3, ROUND(C1620, 0),Sheet2!$A$2:$A$21)</f>
        <v>46252</v>
      </c>
    </row>
    <row r="1621" spans="1:4" x14ac:dyDescent="0.25">
      <c r="A1621" s="42">
        <f t="shared" si="27"/>
        <v>1620</v>
      </c>
      <c r="B1621" s="42" cm="1">
        <f t="array" aca="1" ref="B1621" ca="1">INDEX(Historical!$A$1:$A$18, RANDBETWEEN(1, COUNTA(Historical!$A$1:$A$18)))</f>
        <v>1.4347826086956521</v>
      </c>
      <c r="C1621" s="42">
        <f ca="1">Inputs!$B$2/B1621</f>
        <v>156.12121212121212</v>
      </c>
      <c r="D1621" s="43">
        <f ca="1">WORKDAY(Inputs!$B$3, ROUND(C1621, 0),Sheet2!$A$2:$A$21)</f>
        <v>46246</v>
      </c>
    </row>
    <row r="1622" spans="1:4" x14ac:dyDescent="0.25">
      <c r="A1622" s="42">
        <f t="shared" si="27"/>
        <v>1621</v>
      </c>
      <c r="B1622" s="42" cm="1">
        <f t="array" aca="1" ref="B1622" ca="1">INDEX(Historical!$A$1:$A$18, RANDBETWEEN(1, COUNTA(Historical!$A$1:$A$18)))</f>
        <v>1.368421052631579</v>
      </c>
      <c r="C1622" s="42">
        <f ca="1">Inputs!$B$2/B1622</f>
        <v>163.69230769230768</v>
      </c>
      <c r="D1622" s="43">
        <f ca="1">WORKDAY(Inputs!$B$3, ROUND(C1622, 0),Sheet2!$A$2:$A$21)</f>
        <v>46258</v>
      </c>
    </row>
    <row r="1623" spans="1:4" x14ac:dyDescent="0.25">
      <c r="A1623" s="42">
        <f t="shared" si="27"/>
        <v>1622</v>
      </c>
      <c r="B1623" s="42" cm="1">
        <f t="array" aca="1" ref="B1623" ca="1">INDEX(Historical!$A$1:$A$18, RANDBETWEEN(1, COUNTA(Historical!$A$1:$A$18)))</f>
        <v>1.3617021276595744</v>
      </c>
      <c r="C1623" s="42">
        <f ca="1">Inputs!$B$2/B1623</f>
        <v>164.5</v>
      </c>
      <c r="D1623" s="43">
        <f ca="1">WORKDAY(Inputs!$B$3, ROUND(C1623, 0),Sheet2!$A$2:$A$21)</f>
        <v>46259</v>
      </c>
    </row>
    <row r="1624" spans="1:4" x14ac:dyDescent="0.25">
      <c r="A1624" s="42">
        <f t="shared" si="27"/>
        <v>1623</v>
      </c>
      <c r="B1624" s="42" cm="1">
        <f t="array" aca="1" ref="B1624" ca="1">INDEX(Historical!$A$1:$A$18, RANDBETWEEN(1, COUNTA(Historical!$A$1:$A$18)))</f>
        <v>1.4038461538461537</v>
      </c>
      <c r="C1624" s="42">
        <f ca="1">Inputs!$B$2/B1624</f>
        <v>159.56164383561645</v>
      </c>
      <c r="D1624" s="43">
        <f ca="1">WORKDAY(Inputs!$B$3, ROUND(C1624, 0),Sheet2!$A$2:$A$21)</f>
        <v>46252</v>
      </c>
    </row>
    <row r="1625" spans="1:4" x14ac:dyDescent="0.25">
      <c r="A1625" s="42">
        <f t="shared" si="27"/>
        <v>1624</v>
      </c>
      <c r="B1625" s="42" cm="1">
        <f t="array" aca="1" ref="B1625" ca="1">INDEX(Historical!$A$1:$A$18, RANDBETWEEN(1, COUNTA(Historical!$A$1:$A$18)))</f>
        <v>1.3157894736842106</v>
      </c>
      <c r="C1625" s="42">
        <f ca="1">Inputs!$B$2/B1625</f>
        <v>170.23999999999998</v>
      </c>
      <c r="D1625" s="43">
        <f ca="1">WORKDAY(Inputs!$B$3, ROUND(C1625, 0),Sheet2!$A$2:$A$21)</f>
        <v>46266</v>
      </c>
    </row>
    <row r="1626" spans="1:4" x14ac:dyDescent="0.25">
      <c r="A1626" s="42">
        <f t="shared" si="27"/>
        <v>1625</v>
      </c>
      <c r="B1626" s="42" cm="1">
        <f t="array" aca="1" ref="B1626" ca="1">INDEX(Historical!$A$1:$A$18, RANDBETWEEN(1, COUNTA(Historical!$A$1:$A$18)))</f>
        <v>1.3157894736842106</v>
      </c>
      <c r="C1626" s="42">
        <f ca="1">Inputs!$B$2/B1626</f>
        <v>170.23999999999998</v>
      </c>
      <c r="D1626" s="43">
        <f ca="1">WORKDAY(Inputs!$B$3, ROUND(C1626, 0),Sheet2!$A$2:$A$21)</f>
        <v>46266</v>
      </c>
    </row>
    <row r="1627" spans="1:4" x14ac:dyDescent="0.25">
      <c r="A1627" s="42">
        <f t="shared" si="27"/>
        <v>1626</v>
      </c>
      <c r="B1627" s="42" cm="1">
        <f t="array" aca="1" ref="B1627" ca="1">INDEX(Historical!$A$1:$A$18, RANDBETWEEN(1, COUNTA(Historical!$A$1:$A$18)))</f>
        <v>1.290909090909091</v>
      </c>
      <c r="C1627" s="42">
        <f ca="1">Inputs!$B$2/B1627</f>
        <v>173.52112676056336</v>
      </c>
      <c r="D1627" s="43">
        <f ca="1">WORKDAY(Inputs!$B$3, ROUND(C1627, 0),Sheet2!$A$2:$A$21)</f>
        <v>46273</v>
      </c>
    </row>
    <row r="1628" spans="1:4" x14ac:dyDescent="0.25">
      <c r="A1628" s="42">
        <f t="shared" si="27"/>
        <v>1627</v>
      </c>
      <c r="B1628" s="42" cm="1">
        <f t="array" aca="1" ref="B1628" ca="1">INDEX(Historical!$A$1:$A$18, RANDBETWEEN(1, COUNTA(Historical!$A$1:$A$18)))</f>
        <v>1.3611111111111112</v>
      </c>
      <c r="C1628" s="42">
        <f ca="1">Inputs!$B$2/B1628</f>
        <v>164.57142857142856</v>
      </c>
      <c r="D1628" s="43">
        <f ca="1">WORKDAY(Inputs!$B$3, ROUND(C1628, 0),Sheet2!$A$2:$A$21)</f>
        <v>46259</v>
      </c>
    </row>
    <row r="1629" spans="1:4" x14ac:dyDescent="0.25">
      <c r="A1629" s="42">
        <f t="shared" si="27"/>
        <v>1628</v>
      </c>
      <c r="B1629" s="42" cm="1">
        <f t="array" aca="1" ref="B1629" ca="1">INDEX(Historical!$A$1:$A$18, RANDBETWEEN(1, COUNTA(Historical!$A$1:$A$18)))</f>
        <v>1.375</v>
      </c>
      <c r="C1629" s="42">
        <f ca="1">Inputs!$B$2/B1629</f>
        <v>162.90909090909091</v>
      </c>
      <c r="D1629" s="43">
        <f ca="1">WORKDAY(Inputs!$B$3, ROUND(C1629, 0),Sheet2!$A$2:$A$21)</f>
        <v>46255</v>
      </c>
    </row>
    <row r="1630" spans="1:4" x14ac:dyDescent="0.25">
      <c r="A1630" s="42">
        <f t="shared" si="27"/>
        <v>1629</v>
      </c>
      <c r="B1630" s="42" cm="1">
        <f t="array" aca="1" ref="B1630" ca="1">INDEX(Historical!$A$1:$A$18, RANDBETWEEN(1, COUNTA(Historical!$A$1:$A$18)))</f>
        <v>1.3692307692307693</v>
      </c>
      <c r="C1630" s="42">
        <f ca="1">Inputs!$B$2/B1630</f>
        <v>163.59550561797752</v>
      </c>
      <c r="D1630" s="43">
        <f ca="1">WORKDAY(Inputs!$B$3, ROUND(C1630, 0),Sheet2!$A$2:$A$21)</f>
        <v>46258</v>
      </c>
    </row>
    <row r="1631" spans="1:4" x14ac:dyDescent="0.25">
      <c r="A1631" s="42">
        <f t="shared" si="27"/>
        <v>1630</v>
      </c>
      <c r="B1631" s="42" cm="1">
        <f t="array" aca="1" ref="B1631" ca="1">INDEX(Historical!$A$1:$A$18, RANDBETWEEN(1, COUNTA(Historical!$A$1:$A$18)))</f>
        <v>1.4761904761904763</v>
      </c>
      <c r="C1631" s="42">
        <f ca="1">Inputs!$B$2/B1631</f>
        <v>151.74193548387095</v>
      </c>
      <c r="D1631" s="43">
        <f ca="1">WORKDAY(Inputs!$B$3, ROUND(C1631, 0),Sheet2!$A$2:$A$21)</f>
        <v>46240</v>
      </c>
    </row>
    <row r="1632" spans="1:4" x14ac:dyDescent="0.25">
      <c r="A1632" s="42">
        <f t="shared" si="27"/>
        <v>1631</v>
      </c>
      <c r="B1632" s="42" cm="1">
        <f t="array" aca="1" ref="B1632" ca="1">INDEX(Historical!$A$1:$A$18, RANDBETWEEN(1, COUNTA(Historical!$A$1:$A$18)))</f>
        <v>1.4347826086956521</v>
      </c>
      <c r="C1632" s="42">
        <f ca="1">Inputs!$B$2/B1632</f>
        <v>156.12121212121212</v>
      </c>
      <c r="D1632" s="43">
        <f ca="1">WORKDAY(Inputs!$B$3, ROUND(C1632, 0),Sheet2!$A$2:$A$21)</f>
        <v>46246</v>
      </c>
    </row>
    <row r="1633" spans="1:4" x14ac:dyDescent="0.25">
      <c r="A1633" s="42">
        <f t="shared" si="27"/>
        <v>1632</v>
      </c>
      <c r="B1633" s="42" cm="1">
        <f t="array" aca="1" ref="B1633" ca="1">INDEX(Historical!$A$1:$A$18, RANDBETWEEN(1, COUNTA(Historical!$A$1:$A$18)))</f>
        <v>1.3617021276595744</v>
      </c>
      <c r="C1633" s="42">
        <f ca="1">Inputs!$B$2/B1633</f>
        <v>164.5</v>
      </c>
      <c r="D1633" s="43">
        <f ca="1">WORKDAY(Inputs!$B$3, ROUND(C1633, 0),Sheet2!$A$2:$A$21)</f>
        <v>46259</v>
      </c>
    </row>
    <row r="1634" spans="1:4" x14ac:dyDescent="0.25">
      <c r="A1634" s="42">
        <f t="shared" si="27"/>
        <v>1633</v>
      </c>
      <c r="B1634" s="42" cm="1">
        <f t="array" aca="1" ref="B1634" ca="1">INDEX(Historical!$A$1:$A$18, RANDBETWEEN(1, COUNTA(Historical!$A$1:$A$18)))</f>
        <v>1.3214285714285714</v>
      </c>
      <c r="C1634" s="42">
        <f ca="1">Inputs!$B$2/B1634</f>
        <v>169.51351351351352</v>
      </c>
      <c r="D1634" s="43">
        <f ca="1">WORKDAY(Inputs!$B$3, ROUND(C1634, 0),Sheet2!$A$2:$A$21)</f>
        <v>46266</v>
      </c>
    </row>
    <row r="1635" spans="1:4" x14ac:dyDescent="0.25">
      <c r="A1635" s="42">
        <f t="shared" si="27"/>
        <v>1634</v>
      </c>
      <c r="B1635" s="42" cm="1">
        <f t="array" aca="1" ref="B1635" ca="1">INDEX(Historical!$A$1:$A$18, RANDBETWEEN(1, COUNTA(Historical!$A$1:$A$18)))</f>
        <v>1.3617021276595744</v>
      </c>
      <c r="C1635" s="42">
        <f ca="1">Inputs!$B$2/B1635</f>
        <v>164.5</v>
      </c>
      <c r="D1635" s="43">
        <f ca="1">WORKDAY(Inputs!$B$3, ROUND(C1635, 0),Sheet2!$A$2:$A$21)</f>
        <v>46259</v>
      </c>
    </row>
    <row r="1636" spans="1:4" x14ac:dyDescent="0.25">
      <c r="A1636" s="42">
        <f t="shared" si="27"/>
        <v>1635</v>
      </c>
      <c r="B1636" s="42" cm="1">
        <f t="array" aca="1" ref="B1636" ca="1">INDEX(Historical!$A$1:$A$18, RANDBETWEEN(1, COUNTA(Historical!$A$1:$A$18)))</f>
        <v>1.303030303030303</v>
      </c>
      <c r="C1636" s="42">
        <f ca="1">Inputs!$B$2/B1636</f>
        <v>171.90697674418604</v>
      </c>
      <c r="D1636" s="43">
        <f ca="1">WORKDAY(Inputs!$B$3, ROUND(C1636, 0),Sheet2!$A$2:$A$21)</f>
        <v>46268</v>
      </c>
    </row>
    <row r="1637" spans="1:4" x14ac:dyDescent="0.25">
      <c r="A1637" s="42">
        <f t="shared" si="27"/>
        <v>1636</v>
      </c>
      <c r="B1637" s="42" cm="1">
        <f t="array" aca="1" ref="B1637" ca="1">INDEX(Historical!$A$1:$A$18, RANDBETWEEN(1, COUNTA(Historical!$A$1:$A$18)))</f>
        <v>1.303030303030303</v>
      </c>
      <c r="C1637" s="42">
        <f ca="1">Inputs!$B$2/B1637</f>
        <v>171.90697674418604</v>
      </c>
      <c r="D1637" s="43">
        <f ca="1">WORKDAY(Inputs!$B$3, ROUND(C1637, 0),Sheet2!$A$2:$A$21)</f>
        <v>46268</v>
      </c>
    </row>
    <row r="1638" spans="1:4" x14ac:dyDescent="0.25">
      <c r="A1638" s="42">
        <f t="shared" si="27"/>
        <v>1637</v>
      </c>
      <c r="B1638" s="42" cm="1">
        <f t="array" aca="1" ref="B1638" ca="1">INDEX(Historical!$A$1:$A$18, RANDBETWEEN(1, COUNTA(Historical!$A$1:$A$18)))</f>
        <v>1.1666666666666667</v>
      </c>
      <c r="C1638" s="42">
        <f ca="1">Inputs!$B$2/B1638</f>
        <v>192</v>
      </c>
      <c r="D1638" s="43">
        <f ca="1">WORKDAY(Inputs!$B$3, ROUND(C1638, 0),Sheet2!$A$2:$A$21)</f>
        <v>46297</v>
      </c>
    </row>
    <row r="1639" spans="1:4" x14ac:dyDescent="0.25">
      <c r="A1639" s="42">
        <f t="shared" si="27"/>
        <v>1638</v>
      </c>
      <c r="B1639" s="42" cm="1">
        <f t="array" aca="1" ref="B1639" ca="1">INDEX(Historical!$A$1:$A$18, RANDBETWEEN(1, COUNTA(Historical!$A$1:$A$18)))</f>
        <v>1.5</v>
      </c>
      <c r="C1639" s="42">
        <f ca="1">Inputs!$B$2/B1639</f>
        <v>149.33333333333334</v>
      </c>
      <c r="D1639" s="43">
        <f ca="1">WORKDAY(Inputs!$B$3, ROUND(C1639, 0),Sheet2!$A$2:$A$21)</f>
        <v>46237</v>
      </c>
    </row>
    <row r="1640" spans="1:4" x14ac:dyDescent="0.25">
      <c r="A1640" s="42">
        <f t="shared" si="27"/>
        <v>1639</v>
      </c>
      <c r="B1640" s="42" cm="1">
        <f t="array" aca="1" ref="B1640" ca="1">INDEX(Historical!$A$1:$A$18, RANDBETWEEN(1, COUNTA(Historical!$A$1:$A$18)))</f>
        <v>1.290909090909091</v>
      </c>
      <c r="C1640" s="42">
        <f ca="1">Inputs!$B$2/B1640</f>
        <v>173.52112676056336</v>
      </c>
      <c r="D1640" s="43">
        <f ca="1">WORKDAY(Inputs!$B$3, ROUND(C1640, 0),Sheet2!$A$2:$A$21)</f>
        <v>46273</v>
      </c>
    </row>
    <row r="1641" spans="1:4" x14ac:dyDescent="0.25">
      <c r="A1641" s="42">
        <f t="shared" si="27"/>
        <v>1640</v>
      </c>
      <c r="B1641" s="42" cm="1">
        <f t="array" aca="1" ref="B1641" ca="1">INDEX(Historical!$A$1:$A$18, RANDBETWEEN(1, COUNTA(Historical!$A$1:$A$18)))</f>
        <v>1.290909090909091</v>
      </c>
      <c r="C1641" s="42">
        <f ca="1">Inputs!$B$2/B1641</f>
        <v>173.52112676056336</v>
      </c>
      <c r="D1641" s="43">
        <f ca="1">WORKDAY(Inputs!$B$3, ROUND(C1641, 0),Sheet2!$A$2:$A$21)</f>
        <v>46273</v>
      </c>
    </row>
    <row r="1642" spans="1:4" x14ac:dyDescent="0.25">
      <c r="A1642" s="42">
        <f t="shared" si="27"/>
        <v>1641</v>
      </c>
      <c r="B1642" s="42" cm="1">
        <f t="array" aca="1" ref="B1642" ca="1">INDEX(Historical!$A$1:$A$18, RANDBETWEEN(1, COUNTA(Historical!$A$1:$A$18)))</f>
        <v>1.303030303030303</v>
      </c>
      <c r="C1642" s="42">
        <f ca="1">Inputs!$B$2/B1642</f>
        <v>171.90697674418604</v>
      </c>
      <c r="D1642" s="43">
        <f ca="1">WORKDAY(Inputs!$B$3, ROUND(C1642, 0),Sheet2!$A$2:$A$21)</f>
        <v>46268</v>
      </c>
    </row>
    <row r="1643" spans="1:4" x14ac:dyDescent="0.25">
      <c r="A1643" s="42">
        <f t="shared" si="27"/>
        <v>1642</v>
      </c>
      <c r="B1643" s="42" cm="1">
        <f t="array" aca="1" ref="B1643" ca="1">INDEX(Historical!$A$1:$A$18, RANDBETWEEN(1, COUNTA(Historical!$A$1:$A$18)))</f>
        <v>1.1666666666666667</v>
      </c>
      <c r="C1643" s="42">
        <f ca="1">Inputs!$B$2/B1643</f>
        <v>192</v>
      </c>
      <c r="D1643" s="43">
        <f ca="1">WORKDAY(Inputs!$B$3, ROUND(C1643, 0),Sheet2!$A$2:$A$21)</f>
        <v>46297</v>
      </c>
    </row>
    <row r="1644" spans="1:4" x14ac:dyDescent="0.25">
      <c r="A1644" s="42">
        <f t="shared" si="27"/>
        <v>1643</v>
      </c>
      <c r="B1644" s="42" cm="1">
        <f t="array" aca="1" ref="B1644" ca="1">INDEX(Historical!$A$1:$A$18, RANDBETWEEN(1, COUNTA(Historical!$A$1:$A$18)))</f>
        <v>1.290909090909091</v>
      </c>
      <c r="C1644" s="42">
        <f ca="1">Inputs!$B$2/B1644</f>
        <v>173.52112676056336</v>
      </c>
      <c r="D1644" s="43">
        <f ca="1">WORKDAY(Inputs!$B$3, ROUND(C1644, 0),Sheet2!$A$2:$A$21)</f>
        <v>46273</v>
      </c>
    </row>
    <row r="1645" spans="1:4" x14ac:dyDescent="0.25">
      <c r="A1645" s="42">
        <f t="shared" si="27"/>
        <v>1644</v>
      </c>
      <c r="B1645" s="42" cm="1">
        <f t="array" aca="1" ref="B1645" ca="1">INDEX(Historical!$A$1:$A$18, RANDBETWEEN(1, COUNTA(Historical!$A$1:$A$18)))</f>
        <v>1.303030303030303</v>
      </c>
      <c r="C1645" s="42">
        <f ca="1">Inputs!$B$2/B1645</f>
        <v>171.90697674418604</v>
      </c>
      <c r="D1645" s="43">
        <f ca="1">WORKDAY(Inputs!$B$3, ROUND(C1645, 0),Sheet2!$A$2:$A$21)</f>
        <v>46268</v>
      </c>
    </row>
    <row r="1646" spans="1:4" x14ac:dyDescent="0.25">
      <c r="A1646" s="42">
        <f t="shared" si="27"/>
        <v>1645</v>
      </c>
      <c r="B1646" s="42" cm="1">
        <f t="array" aca="1" ref="B1646" ca="1">INDEX(Historical!$A$1:$A$18, RANDBETWEEN(1, COUNTA(Historical!$A$1:$A$18)))</f>
        <v>1.3611111111111112</v>
      </c>
      <c r="C1646" s="42">
        <f ca="1">Inputs!$B$2/B1646</f>
        <v>164.57142857142856</v>
      </c>
      <c r="D1646" s="43">
        <f ca="1">WORKDAY(Inputs!$B$3, ROUND(C1646, 0),Sheet2!$A$2:$A$21)</f>
        <v>46259</v>
      </c>
    </row>
    <row r="1647" spans="1:4" x14ac:dyDescent="0.25">
      <c r="A1647" s="42">
        <f t="shared" si="27"/>
        <v>1646</v>
      </c>
      <c r="B1647" s="42" cm="1">
        <f t="array" aca="1" ref="B1647" ca="1">INDEX(Historical!$A$1:$A$18, RANDBETWEEN(1, COUNTA(Historical!$A$1:$A$18)))</f>
        <v>1.2941176470588236</v>
      </c>
      <c r="C1647" s="42">
        <f ca="1">Inputs!$B$2/B1647</f>
        <v>173.09090909090909</v>
      </c>
      <c r="D1647" s="43">
        <f ca="1">WORKDAY(Inputs!$B$3, ROUND(C1647, 0),Sheet2!$A$2:$A$21)</f>
        <v>46269</v>
      </c>
    </row>
    <row r="1648" spans="1:4" x14ac:dyDescent="0.25">
      <c r="A1648" s="42">
        <f t="shared" si="27"/>
        <v>1647</v>
      </c>
      <c r="B1648" s="42" cm="1">
        <f t="array" aca="1" ref="B1648" ca="1">INDEX(Historical!$A$1:$A$18, RANDBETWEEN(1, COUNTA(Historical!$A$1:$A$18)))</f>
        <v>1.1666666666666667</v>
      </c>
      <c r="C1648" s="42">
        <f ca="1">Inputs!$B$2/B1648</f>
        <v>192</v>
      </c>
      <c r="D1648" s="43">
        <f ca="1">WORKDAY(Inputs!$B$3, ROUND(C1648, 0),Sheet2!$A$2:$A$21)</f>
        <v>46297</v>
      </c>
    </row>
    <row r="1649" spans="1:4" x14ac:dyDescent="0.25">
      <c r="A1649" s="42">
        <f t="shared" si="27"/>
        <v>1648</v>
      </c>
      <c r="B1649" s="42" cm="1">
        <f t="array" aca="1" ref="B1649" ca="1">INDEX(Historical!$A$1:$A$18, RANDBETWEEN(1, COUNTA(Historical!$A$1:$A$18)))</f>
        <v>1.3611111111111112</v>
      </c>
      <c r="C1649" s="42">
        <f ca="1">Inputs!$B$2/B1649</f>
        <v>164.57142857142856</v>
      </c>
      <c r="D1649" s="43">
        <f ca="1">WORKDAY(Inputs!$B$3, ROUND(C1649, 0),Sheet2!$A$2:$A$21)</f>
        <v>46259</v>
      </c>
    </row>
    <row r="1650" spans="1:4" x14ac:dyDescent="0.25">
      <c r="A1650" s="42">
        <f t="shared" si="27"/>
        <v>1649</v>
      </c>
      <c r="B1650" s="42" cm="1">
        <f t="array" aca="1" ref="B1650" ca="1">INDEX(Historical!$A$1:$A$18, RANDBETWEEN(1, COUNTA(Historical!$A$1:$A$18)))</f>
        <v>1.4761904761904763</v>
      </c>
      <c r="C1650" s="42">
        <f ca="1">Inputs!$B$2/B1650</f>
        <v>151.74193548387095</v>
      </c>
      <c r="D1650" s="43">
        <f ca="1">WORKDAY(Inputs!$B$3, ROUND(C1650, 0),Sheet2!$A$2:$A$21)</f>
        <v>46240</v>
      </c>
    </row>
    <row r="1651" spans="1:4" x14ac:dyDescent="0.25">
      <c r="A1651" s="42">
        <f t="shared" si="27"/>
        <v>1650</v>
      </c>
      <c r="B1651" s="42" cm="1">
        <f t="array" aca="1" ref="B1651" ca="1">INDEX(Historical!$A$1:$A$18, RANDBETWEEN(1, COUNTA(Historical!$A$1:$A$18)))</f>
        <v>1.290909090909091</v>
      </c>
      <c r="C1651" s="42">
        <f ca="1">Inputs!$B$2/B1651</f>
        <v>173.52112676056336</v>
      </c>
      <c r="D1651" s="43">
        <f ca="1">WORKDAY(Inputs!$B$3, ROUND(C1651, 0),Sheet2!$A$2:$A$21)</f>
        <v>46273</v>
      </c>
    </row>
    <row r="1652" spans="1:4" x14ac:dyDescent="0.25">
      <c r="A1652" s="42">
        <f t="shared" si="27"/>
        <v>1651</v>
      </c>
      <c r="B1652" s="42" cm="1">
        <f t="array" aca="1" ref="B1652" ca="1">INDEX(Historical!$A$1:$A$18, RANDBETWEEN(1, COUNTA(Historical!$A$1:$A$18)))</f>
        <v>1.4347826086956521</v>
      </c>
      <c r="C1652" s="42">
        <f ca="1">Inputs!$B$2/B1652</f>
        <v>156.12121212121212</v>
      </c>
      <c r="D1652" s="43">
        <f ca="1">WORKDAY(Inputs!$B$3, ROUND(C1652, 0),Sheet2!$A$2:$A$21)</f>
        <v>46246</v>
      </c>
    </row>
    <row r="1653" spans="1:4" x14ac:dyDescent="0.25">
      <c r="A1653" s="42">
        <f t="shared" si="27"/>
        <v>1652</v>
      </c>
      <c r="B1653" s="42" cm="1">
        <f t="array" aca="1" ref="B1653" ca="1">INDEX(Historical!$A$1:$A$18, RANDBETWEEN(1, COUNTA(Historical!$A$1:$A$18)))</f>
        <v>1.1666666666666667</v>
      </c>
      <c r="C1653" s="42">
        <f ca="1">Inputs!$B$2/B1653</f>
        <v>192</v>
      </c>
      <c r="D1653" s="43">
        <f ca="1">WORKDAY(Inputs!$B$3, ROUND(C1653, 0),Sheet2!$A$2:$A$21)</f>
        <v>46297</v>
      </c>
    </row>
    <row r="1654" spans="1:4" x14ac:dyDescent="0.25">
      <c r="A1654" s="42">
        <f t="shared" si="27"/>
        <v>1653</v>
      </c>
      <c r="B1654" s="42" cm="1">
        <f t="array" aca="1" ref="B1654" ca="1">INDEX(Historical!$A$1:$A$18, RANDBETWEEN(1, COUNTA(Historical!$A$1:$A$18)))</f>
        <v>1.303030303030303</v>
      </c>
      <c r="C1654" s="42">
        <f ca="1">Inputs!$B$2/B1654</f>
        <v>171.90697674418604</v>
      </c>
      <c r="D1654" s="43">
        <f ca="1">WORKDAY(Inputs!$B$3, ROUND(C1654, 0),Sheet2!$A$2:$A$21)</f>
        <v>46268</v>
      </c>
    </row>
    <row r="1655" spans="1:4" x14ac:dyDescent="0.25">
      <c r="A1655" s="42">
        <f t="shared" si="27"/>
        <v>1654</v>
      </c>
      <c r="B1655" s="42" cm="1">
        <f t="array" aca="1" ref="B1655" ca="1">INDEX(Historical!$A$1:$A$18, RANDBETWEEN(1, COUNTA(Historical!$A$1:$A$18)))</f>
        <v>1.3611111111111112</v>
      </c>
      <c r="C1655" s="42">
        <f ca="1">Inputs!$B$2/B1655</f>
        <v>164.57142857142856</v>
      </c>
      <c r="D1655" s="43">
        <f ca="1">WORKDAY(Inputs!$B$3, ROUND(C1655, 0),Sheet2!$A$2:$A$21)</f>
        <v>46259</v>
      </c>
    </row>
    <row r="1656" spans="1:4" x14ac:dyDescent="0.25">
      <c r="A1656" s="42">
        <f t="shared" si="27"/>
        <v>1655</v>
      </c>
      <c r="B1656" s="42" cm="1">
        <f t="array" aca="1" ref="B1656" ca="1">INDEX(Historical!$A$1:$A$18, RANDBETWEEN(1, COUNTA(Historical!$A$1:$A$18)))</f>
        <v>1.5</v>
      </c>
      <c r="C1656" s="42">
        <f ca="1">Inputs!$B$2/B1656</f>
        <v>149.33333333333334</v>
      </c>
      <c r="D1656" s="43">
        <f ca="1">WORKDAY(Inputs!$B$3, ROUND(C1656, 0),Sheet2!$A$2:$A$21)</f>
        <v>46237</v>
      </c>
    </row>
    <row r="1657" spans="1:4" x14ac:dyDescent="0.25">
      <c r="A1657" s="42">
        <f t="shared" si="27"/>
        <v>1656</v>
      </c>
      <c r="B1657" s="42" cm="1">
        <f t="array" aca="1" ref="B1657" ca="1">INDEX(Historical!$A$1:$A$18, RANDBETWEEN(1, COUNTA(Historical!$A$1:$A$18)))</f>
        <v>1.3692307692307693</v>
      </c>
      <c r="C1657" s="42">
        <f ca="1">Inputs!$B$2/B1657</f>
        <v>163.59550561797752</v>
      </c>
      <c r="D1657" s="43">
        <f ca="1">WORKDAY(Inputs!$B$3, ROUND(C1657, 0),Sheet2!$A$2:$A$21)</f>
        <v>46258</v>
      </c>
    </row>
    <row r="1658" spans="1:4" x14ac:dyDescent="0.25">
      <c r="A1658" s="42">
        <f t="shared" si="27"/>
        <v>1657</v>
      </c>
      <c r="B1658" s="42" cm="1">
        <f t="array" aca="1" ref="B1658" ca="1">INDEX(Historical!$A$1:$A$18, RANDBETWEEN(1, COUNTA(Historical!$A$1:$A$18)))</f>
        <v>1.3157894736842106</v>
      </c>
      <c r="C1658" s="42">
        <f ca="1">Inputs!$B$2/B1658</f>
        <v>170.23999999999998</v>
      </c>
      <c r="D1658" s="43">
        <f ca="1">WORKDAY(Inputs!$B$3, ROUND(C1658, 0),Sheet2!$A$2:$A$21)</f>
        <v>46266</v>
      </c>
    </row>
    <row r="1659" spans="1:4" x14ac:dyDescent="0.25">
      <c r="A1659" s="42">
        <f t="shared" si="27"/>
        <v>1658</v>
      </c>
      <c r="B1659" s="42" cm="1">
        <f t="array" aca="1" ref="B1659" ca="1">INDEX(Historical!$A$1:$A$18, RANDBETWEEN(1, COUNTA(Historical!$A$1:$A$18)))</f>
        <v>1.3617021276595744</v>
      </c>
      <c r="C1659" s="42">
        <f ca="1">Inputs!$B$2/B1659</f>
        <v>164.5</v>
      </c>
      <c r="D1659" s="43">
        <f ca="1">WORKDAY(Inputs!$B$3, ROUND(C1659, 0),Sheet2!$A$2:$A$21)</f>
        <v>46259</v>
      </c>
    </row>
    <row r="1660" spans="1:4" x14ac:dyDescent="0.25">
      <c r="A1660" s="42">
        <f t="shared" si="27"/>
        <v>1659</v>
      </c>
      <c r="B1660" s="42" cm="1">
        <f t="array" aca="1" ref="B1660" ca="1">INDEX(Historical!$A$1:$A$18, RANDBETWEEN(1, COUNTA(Historical!$A$1:$A$18)))</f>
        <v>1.3611111111111112</v>
      </c>
      <c r="C1660" s="42">
        <f ca="1">Inputs!$B$2/B1660</f>
        <v>164.57142857142856</v>
      </c>
      <c r="D1660" s="43">
        <f ca="1">WORKDAY(Inputs!$B$3, ROUND(C1660, 0),Sheet2!$A$2:$A$21)</f>
        <v>46259</v>
      </c>
    </row>
    <row r="1661" spans="1:4" x14ac:dyDescent="0.25">
      <c r="A1661" s="42">
        <f t="shared" si="27"/>
        <v>1660</v>
      </c>
      <c r="B1661" s="42" cm="1">
        <f t="array" aca="1" ref="B1661" ca="1">INDEX(Historical!$A$1:$A$18, RANDBETWEEN(1, COUNTA(Historical!$A$1:$A$18)))</f>
        <v>1.375</v>
      </c>
      <c r="C1661" s="42">
        <f ca="1">Inputs!$B$2/B1661</f>
        <v>162.90909090909091</v>
      </c>
      <c r="D1661" s="43">
        <f ca="1">WORKDAY(Inputs!$B$3, ROUND(C1661, 0),Sheet2!$A$2:$A$21)</f>
        <v>46255</v>
      </c>
    </row>
    <row r="1662" spans="1:4" x14ac:dyDescent="0.25">
      <c r="A1662" s="42">
        <f t="shared" si="27"/>
        <v>1661</v>
      </c>
      <c r="B1662" s="42" cm="1">
        <f t="array" aca="1" ref="B1662" ca="1">INDEX(Historical!$A$1:$A$18, RANDBETWEEN(1, COUNTA(Historical!$A$1:$A$18)))</f>
        <v>1.375</v>
      </c>
      <c r="C1662" s="42">
        <f ca="1">Inputs!$B$2/B1662</f>
        <v>162.90909090909091</v>
      </c>
      <c r="D1662" s="43">
        <f ca="1">WORKDAY(Inputs!$B$3, ROUND(C1662, 0),Sheet2!$A$2:$A$21)</f>
        <v>46255</v>
      </c>
    </row>
    <row r="1663" spans="1:4" x14ac:dyDescent="0.25">
      <c r="A1663" s="42">
        <f t="shared" si="27"/>
        <v>1662</v>
      </c>
      <c r="B1663" s="42" cm="1">
        <f t="array" aca="1" ref="B1663" ca="1">INDEX(Historical!$A$1:$A$18, RANDBETWEEN(1, COUNTA(Historical!$A$1:$A$18)))</f>
        <v>1.3707865168539326</v>
      </c>
      <c r="C1663" s="42">
        <f ca="1">Inputs!$B$2/B1663</f>
        <v>163.40983606557376</v>
      </c>
      <c r="D1663" s="43">
        <f ca="1">WORKDAY(Inputs!$B$3, ROUND(C1663, 0),Sheet2!$A$2:$A$21)</f>
        <v>46255</v>
      </c>
    </row>
    <row r="1664" spans="1:4" x14ac:dyDescent="0.25">
      <c r="A1664" s="42">
        <f t="shared" si="27"/>
        <v>1663</v>
      </c>
      <c r="B1664" s="42" cm="1">
        <f t="array" aca="1" ref="B1664" ca="1">INDEX(Historical!$A$1:$A$18, RANDBETWEEN(1, COUNTA(Historical!$A$1:$A$18)))</f>
        <v>1.3214285714285714</v>
      </c>
      <c r="C1664" s="42">
        <f ca="1">Inputs!$B$2/B1664</f>
        <v>169.51351351351352</v>
      </c>
      <c r="D1664" s="43">
        <f ca="1">WORKDAY(Inputs!$B$3, ROUND(C1664, 0),Sheet2!$A$2:$A$21)</f>
        <v>46266</v>
      </c>
    </row>
    <row r="1665" spans="1:4" x14ac:dyDescent="0.25">
      <c r="A1665" s="42">
        <f t="shared" si="27"/>
        <v>1664</v>
      </c>
      <c r="B1665" s="42" cm="1">
        <f t="array" aca="1" ref="B1665" ca="1">INDEX(Historical!$A$1:$A$18, RANDBETWEEN(1, COUNTA(Historical!$A$1:$A$18)))</f>
        <v>1.303030303030303</v>
      </c>
      <c r="C1665" s="42">
        <f ca="1">Inputs!$B$2/B1665</f>
        <v>171.90697674418604</v>
      </c>
      <c r="D1665" s="43">
        <f ca="1">WORKDAY(Inputs!$B$3, ROUND(C1665, 0),Sheet2!$A$2:$A$21)</f>
        <v>46268</v>
      </c>
    </row>
    <row r="1666" spans="1:4" x14ac:dyDescent="0.25">
      <c r="A1666" s="42">
        <f t="shared" si="27"/>
        <v>1665</v>
      </c>
      <c r="B1666" s="42" cm="1">
        <f t="array" aca="1" ref="B1666" ca="1">INDEX(Historical!$A$1:$A$18, RANDBETWEEN(1, COUNTA(Historical!$A$1:$A$18)))</f>
        <v>1.3692307692307693</v>
      </c>
      <c r="C1666" s="42">
        <f ca="1">Inputs!$B$2/B1666</f>
        <v>163.59550561797752</v>
      </c>
      <c r="D1666" s="43">
        <f ca="1">WORKDAY(Inputs!$B$3, ROUND(C1666, 0),Sheet2!$A$2:$A$21)</f>
        <v>46258</v>
      </c>
    </row>
    <row r="1667" spans="1:4" x14ac:dyDescent="0.25">
      <c r="A1667" s="42">
        <f t="shared" ref="A1667:A1730" si="28">ROW()-1</f>
        <v>1666</v>
      </c>
      <c r="B1667" s="42" cm="1">
        <f t="array" aca="1" ref="B1667" ca="1">INDEX(Historical!$A$1:$A$18, RANDBETWEEN(1, COUNTA(Historical!$A$1:$A$18)))</f>
        <v>1.4761904761904763</v>
      </c>
      <c r="C1667" s="42">
        <f ca="1">Inputs!$B$2/B1667</f>
        <v>151.74193548387095</v>
      </c>
      <c r="D1667" s="43">
        <f ca="1">WORKDAY(Inputs!$B$3, ROUND(C1667, 0),Sheet2!$A$2:$A$21)</f>
        <v>46240</v>
      </c>
    </row>
    <row r="1668" spans="1:4" x14ac:dyDescent="0.25">
      <c r="A1668" s="42">
        <f t="shared" si="28"/>
        <v>1667</v>
      </c>
      <c r="B1668" s="42" cm="1">
        <f t="array" aca="1" ref="B1668" ca="1">INDEX(Historical!$A$1:$A$18, RANDBETWEEN(1, COUNTA(Historical!$A$1:$A$18)))</f>
        <v>1.2941176470588236</v>
      </c>
      <c r="C1668" s="42">
        <f ca="1">Inputs!$B$2/B1668</f>
        <v>173.09090909090909</v>
      </c>
      <c r="D1668" s="43">
        <f ca="1">WORKDAY(Inputs!$B$3, ROUND(C1668, 0),Sheet2!$A$2:$A$21)</f>
        <v>46269</v>
      </c>
    </row>
    <row r="1669" spans="1:4" x14ac:dyDescent="0.25">
      <c r="A1669" s="42">
        <f t="shared" si="28"/>
        <v>1668</v>
      </c>
      <c r="B1669" s="42" cm="1">
        <f t="array" aca="1" ref="B1669" ca="1">INDEX(Historical!$A$1:$A$18, RANDBETWEEN(1, COUNTA(Historical!$A$1:$A$18)))</f>
        <v>1.5</v>
      </c>
      <c r="C1669" s="42">
        <f ca="1">Inputs!$B$2/B1669</f>
        <v>149.33333333333334</v>
      </c>
      <c r="D1669" s="43">
        <f ca="1">WORKDAY(Inputs!$B$3, ROUND(C1669, 0),Sheet2!$A$2:$A$21)</f>
        <v>46237</v>
      </c>
    </row>
    <row r="1670" spans="1:4" x14ac:dyDescent="0.25">
      <c r="A1670" s="42">
        <f t="shared" si="28"/>
        <v>1669</v>
      </c>
      <c r="B1670" s="42" cm="1">
        <f t="array" aca="1" ref="B1670" ca="1">INDEX(Historical!$A$1:$A$18, RANDBETWEEN(1, COUNTA(Historical!$A$1:$A$18)))</f>
        <v>1.303030303030303</v>
      </c>
      <c r="C1670" s="42">
        <f ca="1">Inputs!$B$2/B1670</f>
        <v>171.90697674418604</v>
      </c>
      <c r="D1670" s="43">
        <f ca="1">WORKDAY(Inputs!$B$3, ROUND(C1670, 0),Sheet2!$A$2:$A$21)</f>
        <v>46268</v>
      </c>
    </row>
    <row r="1671" spans="1:4" x14ac:dyDescent="0.25">
      <c r="A1671" s="42">
        <f t="shared" si="28"/>
        <v>1670</v>
      </c>
      <c r="B1671" s="42" cm="1">
        <f t="array" aca="1" ref="B1671" ca="1">INDEX(Historical!$A$1:$A$18, RANDBETWEEN(1, COUNTA(Historical!$A$1:$A$18)))</f>
        <v>1.375</v>
      </c>
      <c r="C1671" s="42">
        <f ca="1">Inputs!$B$2/B1671</f>
        <v>162.90909090909091</v>
      </c>
      <c r="D1671" s="43">
        <f ca="1">WORKDAY(Inputs!$B$3, ROUND(C1671, 0),Sheet2!$A$2:$A$21)</f>
        <v>46255</v>
      </c>
    </row>
    <row r="1672" spans="1:4" x14ac:dyDescent="0.25">
      <c r="A1672" s="42">
        <f t="shared" si="28"/>
        <v>1671</v>
      </c>
      <c r="B1672" s="42" cm="1">
        <f t="array" aca="1" ref="B1672" ca="1">INDEX(Historical!$A$1:$A$18, RANDBETWEEN(1, COUNTA(Historical!$A$1:$A$18)))</f>
        <v>1.3559322033898304</v>
      </c>
      <c r="C1672" s="42">
        <f ca="1">Inputs!$B$2/B1672</f>
        <v>165.20000000000002</v>
      </c>
      <c r="D1672" s="43">
        <f ca="1">WORKDAY(Inputs!$B$3, ROUND(C1672, 0),Sheet2!$A$2:$A$21)</f>
        <v>46259</v>
      </c>
    </row>
    <row r="1673" spans="1:4" x14ac:dyDescent="0.25">
      <c r="A1673" s="42">
        <f t="shared" si="28"/>
        <v>1672</v>
      </c>
      <c r="B1673" s="42" cm="1">
        <f t="array" aca="1" ref="B1673" ca="1">INDEX(Historical!$A$1:$A$18, RANDBETWEEN(1, COUNTA(Historical!$A$1:$A$18)))</f>
        <v>1.2941176470588236</v>
      </c>
      <c r="C1673" s="42">
        <f ca="1">Inputs!$B$2/B1673</f>
        <v>173.09090909090909</v>
      </c>
      <c r="D1673" s="43">
        <f ca="1">WORKDAY(Inputs!$B$3, ROUND(C1673, 0),Sheet2!$A$2:$A$21)</f>
        <v>46269</v>
      </c>
    </row>
    <row r="1674" spans="1:4" x14ac:dyDescent="0.25">
      <c r="A1674" s="42">
        <f t="shared" si="28"/>
        <v>1673</v>
      </c>
      <c r="B1674" s="42" cm="1">
        <f t="array" aca="1" ref="B1674" ca="1">INDEX(Historical!$A$1:$A$18, RANDBETWEEN(1, COUNTA(Historical!$A$1:$A$18)))</f>
        <v>1.375</v>
      </c>
      <c r="C1674" s="42">
        <f ca="1">Inputs!$B$2/B1674</f>
        <v>162.90909090909091</v>
      </c>
      <c r="D1674" s="43">
        <f ca="1">WORKDAY(Inputs!$B$3, ROUND(C1674, 0),Sheet2!$A$2:$A$21)</f>
        <v>46255</v>
      </c>
    </row>
    <row r="1675" spans="1:4" x14ac:dyDescent="0.25">
      <c r="A1675" s="42">
        <f t="shared" si="28"/>
        <v>1674</v>
      </c>
      <c r="B1675" s="42" cm="1">
        <f t="array" aca="1" ref="B1675" ca="1">INDEX(Historical!$A$1:$A$18, RANDBETWEEN(1, COUNTA(Historical!$A$1:$A$18)))</f>
        <v>1.1666666666666667</v>
      </c>
      <c r="C1675" s="42">
        <f ca="1">Inputs!$B$2/B1675</f>
        <v>192</v>
      </c>
      <c r="D1675" s="43">
        <f ca="1">WORKDAY(Inputs!$B$3, ROUND(C1675, 0),Sheet2!$A$2:$A$21)</f>
        <v>46297</v>
      </c>
    </row>
    <row r="1676" spans="1:4" x14ac:dyDescent="0.25">
      <c r="A1676" s="42">
        <f t="shared" si="28"/>
        <v>1675</v>
      </c>
      <c r="B1676" s="42" cm="1">
        <f t="array" aca="1" ref="B1676" ca="1">INDEX(Historical!$A$1:$A$18, RANDBETWEEN(1, COUNTA(Historical!$A$1:$A$18)))</f>
        <v>1.5</v>
      </c>
      <c r="C1676" s="42">
        <f ca="1">Inputs!$B$2/B1676</f>
        <v>149.33333333333334</v>
      </c>
      <c r="D1676" s="43">
        <f ca="1">WORKDAY(Inputs!$B$3, ROUND(C1676, 0),Sheet2!$A$2:$A$21)</f>
        <v>46237</v>
      </c>
    </row>
    <row r="1677" spans="1:4" x14ac:dyDescent="0.25">
      <c r="A1677" s="42">
        <f t="shared" si="28"/>
        <v>1676</v>
      </c>
      <c r="B1677" s="42" cm="1">
        <f t="array" aca="1" ref="B1677" ca="1">INDEX(Historical!$A$1:$A$18, RANDBETWEEN(1, COUNTA(Historical!$A$1:$A$18)))</f>
        <v>1.375</v>
      </c>
      <c r="C1677" s="42">
        <f ca="1">Inputs!$B$2/B1677</f>
        <v>162.90909090909091</v>
      </c>
      <c r="D1677" s="43">
        <f ca="1">WORKDAY(Inputs!$B$3, ROUND(C1677, 0),Sheet2!$A$2:$A$21)</f>
        <v>46255</v>
      </c>
    </row>
    <row r="1678" spans="1:4" x14ac:dyDescent="0.25">
      <c r="A1678" s="42">
        <f t="shared" si="28"/>
        <v>1677</v>
      </c>
      <c r="B1678" s="42" cm="1">
        <f t="array" aca="1" ref="B1678" ca="1">INDEX(Historical!$A$1:$A$18, RANDBETWEEN(1, COUNTA(Historical!$A$1:$A$18)))</f>
        <v>1.3559322033898304</v>
      </c>
      <c r="C1678" s="42">
        <f ca="1">Inputs!$B$2/B1678</f>
        <v>165.20000000000002</v>
      </c>
      <c r="D1678" s="43">
        <f ca="1">WORKDAY(Inputs!$B$3, ROUND(C1678, 0),Sheet2!$A$2:$A$21)</f>
        <v>46259</v>
      </c>
    </row>
    <row r="1679" spans="1:4" x14ac:dyDescent="0.25">
      <c r="A1679" s="42">
        <f t="shared" si="28"/>
        <v>1678</v>
      </c>
      <c r="B1679" s="42" cm="1">
        <f t="array" aca="1" ref="B1679" ca="1">INDEX(Historical!$A$1:$A$18, RANDBETWEEN(1, COUNTA(Historical!$A$1:$A$18)))</f>
        <v>1.5</v>
      </c>
      <c r="C1679" s="42">
        <f ca="1">Inputs!$B$2/B1679</f>
        <v>149.33333333333334</v>
      </c>
      <c r="D1679" s="43">
        <f ca="1">WORKDAY(Inputs!$B$3, ROUND(C1679, 0),Sheet2!$A$2:$A$21)</f>
        <v>46237</v>
      </c>
    </row>
    <row r="1680" spans="1:4" x14ac:dyDescent="0.25">
      <c r="A1680" s="42">
        <f t="shared" si="28"/>
        <v>1679</v>
      </c>
      <c r="B1680" s="42" cm="1">
        <f t="array" aca="1" ref="B1680" ca="1">INDEX(Historical!$A$1:$A$18, RANDBETWEEN(1, COUNTA(Historical!$A$1:$A$18)))</f>
        <v>1.3707865168539326</v>
      </c>
      <c r="C1680" s="42">
        <f ca="1">Inputs!$B$2/B1680</f>
        <v>163.40983606557376</v>
      </c>
      <c r="D1680" s="43">
        <f ca="1">WORKDAY(Inputs!$B$3, ROUND(C1680, 0),Sheet2!$A$2:$A$21)</f>
        <v>46255</v>
      </c>
    </row>
    <row r="1681" spans="1:4" x14ac:dyDescent="0.25">
      <c r="A1681" s="42">
        <f t="shared" si="28"/>
        <v>1680</v>
      </c>
      <c r="B1681" s="42" cm="1">
        <f t="array" aca="1" ref="B1681" ca="1">INDEX(Historical!$A$1:$A$18, RANDBETWEEN(1, COUNTA(Historical!$A$1:$A$18)))</f>
        <v>1.368421052631579</v>
      </c>
      <c r="C1681" s="42">
        <f ca="1">Inputs!$B$2/B1681</f>
        <v>163.69230769230768</v>
      </c>
      <c r="D1681" s="43">
        <f ca="1">WORKDAY(Inputs!$B$3, ROUND(C1681, 0),Sheet2!$A$2:$A$21)</f>
        <v>46258</v>
      </c>
    </row>
    <row r="1682" spans="1:4" x14ac:dyDescent="0.25">
      <c r="A1682" s="42">
        <f t="shared" si="28"/>
        <v>1681</v>
      </c>
      <c r="B1682" s="42" cm="1">
        <f t="array" aca="1" ref="B1682" ca="1">INDEX(Historical!$A$1:$A$18, RANDBETWEEN(1, COUNTA(Historical!$A$1:$A$18)))</f>
        <v>1.3157894736842106</v>
      </c>
      <c r="C1682" s="42">
        <f ca="1">Inputs!$B$2/B1682</f>
        <v>170.23999999999998</v>
      </c>
      <c r="D1682" s="43">
        <f ca="1">WORKDAY(Inputs!$B$3, ROUND(C1682, 0),Sheet2!$A$2:$A$21)</f>
        <v>46266</v>
      </c>
    </row>
    <row r="1683" spans="1:4" x14ac:dyDescent="0.25">
      <c r="A1683" s="42">
        <f t="shared" si="28"/>
        <v>1682</v>
      </c>
      <c r="B1683" s="42" cm="1">
        <f t="array" aca="1" ref="B1683" ca="1">INDEX(Historical!$A$1:$A$18, RANDBETWEEN(1, COUNTA(Historical!$A$1:$A$18)))</f>
        <v>1.4038461538461537</v>
      </c>
      <c r="C1683" s="42">
        <f ca="1">Inputs!$B$2/B1683</f>
        <v>159.56164383561645</v>
      </c>
      <c r="D1683" s="43">
        <f ca="1">WORKDAY(Inputs!$B$3, ROUND(C1683, 0),Sheet2!$A$2:$A$21)</f>
        <v>46252</v>
      </c>
    </row>
    <row r="1684" spans="1:4" x14ac:dyDescent="0.25">
      <c r="A1684" s="42">
        <f t="shared" si="28"/>
        <v>1683</v>
      </c>
      <c r="B1684" s="42" cm="1">
        <f t="array" aca="1" ref="B1684" ca="1">INDEX(Historical!$A$1:$A$18, RANDBETWEEN(1, COUNTA(Historical!$A$1:$A$18)))</f>
        <v>1.290909090909091</v>
      </c>
      <c r="C1684" s="42">
        <f ca="1">Inputs!$B$2/B1684</f>
        <v>173.52112676056336</v>
      </c>
      <c r="D1684" s="43">
        <f ca="1">WORKDAY(Inputs!$B$3, ROUND(C1684, 0),Sheet2!$A$2:$A$21)</f>
        <v>46273</v>
      </c>
    </row>
    <row r="1685" spans="1:4" x14ac:dyDescent="0.25">
      <c r="A1685" s="42">
        <f t="shared" si="28"/>
        <v>1684</v>
      </c>
      <c r="B1685" s="42" cm="1">
        <f t="array" aca="1" ref="B1685" ca="1">INDEX(Historical!$A$1:$A$18, RANDBETWEEN(1, COUNTA(Historical!$A$1:$A$18)))</f>
        <v>1.368421052631579</v>
      </c>
      <c r="C1685" s="42">
        <f ca="1">Inputs!$B$2/B1685</f>
        <v>163.69230769230768</v>
      </c>
      <c r="D1685" s="43">
        <f ca="1">WORKDAY(Inputs!$B$3, ROUND(C1685, 0),Sheet2!$A$2:$A$21)</f>
        <v>46258</v>
      </c>
    </row>
    <row r="1686" spans="1:4" x14ac:dyDescent="0.25">
      <c r="A1686" s="42">
        <f t="shared" si="28"/>
        <v>1685</v>
      </c>
      <c r="B1686" s="42" cm="1">
        <f t="array" aca="1" ref="B1686" ca="1">INDEX(Historical!$A$1:$A$18, RANDBETWEEN(1, COUNTA(Historical!$A$1:$A$18)))</f>
        <v>1.375</v>
      </c>
      <c r="C1686" s="42">
        <f ca="1">Inputs!$B$2/B1686</f>
        <v>162.90909090909091</v>
      </c>
      <c r="D1686" s="43">
        <f ca="1">WORKDAY(Inputs!$B$3, ROUND(C1686, 0),Sheet2!$A$2:$A$21)</f>
        <v>46255</v>
      </c>
    </row>
    <row r="1687" spans="1:4" x14ac:dyDescent="0.25">
      <c r="A1687" s="42">
        <f t="shared" si="28"/>
        <v>1686</v>
      </c>
      <c r="B1687" s="42" cm="1">
        <f t="array" aca="1" ref="B1687" ca="1">INDEX(Historical!$A$1:$A$18, RANDBETWEEN(1, COUNTA(Historical!$A$1:$A$18)))</f>
        <v>1.3214285714285714</v>
      </c>
      <c r="C1687" s="42">
        <f ca="1">Inputs!$B$2/B1687</f>
        <v>169.51351351351352</v>
      </c>
      <c r="D1687" s="43">
        <f ca="1">WORKDAY(Inputs!$B$3, ROUND(C1687, 0),Sheet2!$A$2:$A$21)</f>
        <v>46266</v>
      </c>
    </row>
    <row r="1688" spans="1:4" x14ac:dyDescent="0.25">
      <c r="A1688" s="42">
        <f t="shared" si="28"/>
        <v>1687</v>
      </c>
      <c r="B1688" s="42" cm="1">
        <f t="array" aca="1" ref="B1688" ca="1">INDEX(Historical!$A$1:$A$18, RANDBETWEEN(1, COUNTA(Historical!$A$1:$A$18)))</f>
        <v>1.290909090909091</v>
      </c>
      <c r="C1688" s="42">
        <f ca="1">Inputs!$B$2/B1688</f>
        <v>173.52112676056336</v>
      </c>
      <c r="D1688" s="43">
        <f ca="1">WORKDAY(Inputs!$B$3, ROUND(C1688, 0),Sheet2!$A$2:$A$21)</f>
        <v>46273</v>
      </c>
    </row>
    <row r="1689" spans="1:4" x14ac:dyDescent="0.25">
      <c r="A1689" s="42">
        <f t="shared" si="28"/>
        <v>1688</v>
      </c>
      <c r="B1689" s="42" cm="1">
        <f t="array" aca="1" ref="B1689" ca="1">INDEX(Historical!$A$1:$A$18, RANDBETWEEN(1, COUNTA(Historical!$A$1:$A$18)))</f>
        <v>1.3707865168539326</v>
      </c>
      <c r="C1689" s="42">
        <f ca="1">Inputs!$B$2/B1689</f>
        <v>163.40983606557376</v>
      </c>
      <c r="D1689" s="43">
        <f ca="1">WORKDAY(Inputs!$B$3, ROUND(C1689, 0),Sheet2!$A$2:$A$21)</f>
        <v>46255</v>
      </c>
    </row>
    <row r="1690" spans="1:4" x14ac:dyDescent="0.25">
      <c r="A1690" s="42">
        <f t="shared" si="28"/>
        <v>1689</v>
      </c>
      <c r="B1690" s="42" cm="1">
        <f t="array" aca="1" ref="B1690" ca="1">INDEX(Historical!$A$1:$A$18, RANDBETWEEN(1, COUNTA(Historical!$A$1:$A$18)))</f>
        <v>1.3692307692307693</v>
      </c>
      <c r="C1690" s="42">
        <f ca="1">Inputs!$B$2/B1690</f>
        <v>163.59550561797752</v>
      </c>
      <c r="D1690" s="43">
        <f ca="1">WORKDAY(Inputs!$B$3, ROUND(C1690, 0),Sheet2!$A$2:$A$21)</f>
        <v>46258</v>
      </c>
    </row>
    <row r="1691" spans="1:4" x14ac:dyDescent="0.25">
      <c r="A1691" s="42">
        <f t="shared" si="28"/>
        <v>1690</v>
      </c>
      <c r="B1691" s="42" cm="1">
        <f t="array" aca="1" ref="B1691" ca="1">INDEX(Historical!$A$1:$A$18, RANDBETWEEN(1, COUNTA(Historical!$A$1:$A$18)))</f>
        <v>1.3611111111111112</v>
      </c>
      <c r="C1691" s="42">
        <f ca="1">Inputs!$B$2/B1691</f>
        <v>164.57142857142856</v>
      </c>
      <c r="D1691" s="43">
        <f ca="1">WORKDAY(Inputs!$B$3, ROUND(C1691, 0),Sheet2!$A$2:$A$21)</f>
        <v>46259</v>
      </c>
    </row>
    <row r="1692" spans="1:4" x14ac:dyDescent="0.25">
      <c r="A1692" s="42">
        <f t="shared" si="28"/>
        <v>1691</v>
      </c>
      <c r="B1692" s="42" cm="1">
        <f t="array" aca="1" ref="B1692" ca="1">INDEX(Historical!$A$1:$A$18, RANDBETWEEN(1, COUNTA(Historical!$A$1:$A$18)))</f>
        <v>1.375</v>
      </c>
      <c r="C1692" s="42">
        <f ca="1">Inputs!$B$2/B1692</f>
        <v>162.90909090909091</v>
      </c>
      <c r="D1692" s="43">
        <f ca="1">WORKDAY(Inputs!$B$3, ROUND(C1692, 0),Sheet2!$A$2:$A$21)</f>
        <v>46255</v>
      </c>
    </row>
    <row r="1693" spans="1:4" x14ac:dyDescent="0.25">
      <c r="A1693" s="42">
        <f t="shared" si="28"/>
        <v>1692</v>
      </c>
      <c r="B1693" s="42" cm="1">
        <f t="array" aca="1" ref="B1693" ca="1">INDEX(Historical!$A$1:$A$18, RANDBETWEEN(1, COUNTA(Historical!$A$1:$A$18)))</f>
        <v>1.290909090909091</v>
      </c>
      <c r="C1693" s="42">
        <f ca="1">Inputs!$B$2/B1693</f>
        <v>173.52112676056336</v>
      </c>
      <c r="D1693" s="43">
        <f ca="1">WORKDAY(Inputs!$B$3, ROUND(C1693, 0),Sheet2!$A$2:$A$21)</f>
        <v>46273</v>
      </c>
    </row>
    <row r="1694" spans="1:4" x14ac:dyDescent="0.25">
      <c r="A1694" s="42">
        <f t="shared" si="28"/>
        <v>1693</v>
      </c>
      <c r="B1694" s="42" cm="1">
        <f t="array" aca="1" ref="B1694" ca="1">INDEX(Historical!$A$1:$A$18, RANDBETWEEN(1, COUNTA(Historical!$A$1:$A$18)))</f>
        <v>1.3617021276595744</v>
      </c>
      <c r="C1694" s="42">
        <f ca="1">Inputs!$B$2/B1694</f>
        <v>164.5</v>
      </c>
      <c r="D1694" s="43">
        <f ca="1">WORKDAY(Inputs!$B$3, ROUND(C1694, 0),Sheet2!$A$2:$A$21)</f>
        <v>46259</v>
      </c>
    </row>
    <row r="1695" spans="1:4" x14ac:dyDescent="0.25">
      <c r="A1695" s="42">
        <f t="shared" si="28"/>
        <v>1694</v>
      </c>
      <c r="B1695" s="42" cm="1">
        <f t="array" aca="1" ref="B1695" ca="1">INDEX(Historical!$A$1:$A$18, RANDBETWEEN(1, COUNTA(Historical!$A$1:$A$18)))</f>
        <v>1.4761904761904763</v>
      </c>
      <c r="C1695" s="42">
        <f ca="1">Inputs!$B$2/B1695</f>
        <v>151.74193548387095</v>
      </c>
      <c r="D1695" s="43">
        <f ca="1">WORKDAY(Inputs!$B$3, ROUND(C1695, 0),Sheet2!$A$2:$A$21)</f>
        <v>46240</v>
      </c>
    </row>
    <row r="1696" spans="1:4" x14ac:dyDescent="0.25">
      <c r="A1696" s="42">
        <f t="shared" si="28"/>
        <v>1695</v>
      </c>
      <c r="B1696" s="42" cm="1">
        <f t="array" aca="1" ref="B1696" ca="1">INDEX(Historical!$A$1:$A$18, RANDBETWEEN(1, COUNTA(Historical!$A$1:$A$18)))</f>
        <v>1.290909090909091</v>
      </c>
      <c r="C1696" s="42">
        <f ca="1">Inputs!$B$2/B1696</f>
        <v>173.52112676056336</v>
      </c>
      <c r="D1696" s="43">
        <f ca="1">WORKDAY(Inputs!$B$3, ROUND(C1696, 0),Sheet2!$A$2:$A$21)</f>
        <v>46273</v>
      </c>
    </row>
    <row r="1697" spans="1:4" x14ac:dyDescent="0.25">
      <c r="A1697" s="42">
        <f t="shared" si="28"/>
        <v>1696</v>
      </c>
      <c r="B1697" s="42" cm="1">
        <f t="array" aca="1" ref="B1697" ca="1">INDEX(Historical!$A$1:$A$18, RANDBETWEEN(1, COUNTA(Historical!$A$1:$A$18)))</f>
        <v>1.3707865168539326</v>
      </c>
      <c r="C1697" s="42">
        <f ca="1">Inputs!$B$2/B1697</f>
        <v>163.40983606557376</v>
      </c>
      <c r="D1697" s="43">
        <f ca="1">WORKDAY(Inputs!$B$3, ROUND(C1697, 0),Sheet2!$A$2:$A$21)</f>
        <v>46255</v>
      </c>
    </row>
    <row r="1698" spans="1:4" x14ac:dyDescent="0.25">
      <c r="A1698" s="42">
        <f t="shared" si="28"/>
        <v>1697</v>
      </c>
      <c r="B1698" s="42" cm="1">
        <f t="array" aca="1" ref="B1698" ca="1">INDEX(Historical!$A$1:$A$18, RANDBETWEEN(1, COUNTA(Historical!$A$1:$A$18)))</f>
        <v>1.3617021276595744</v>
      </c>
      <c r="C1698" s="42">
        <f ca="1">Inputs!$B$2/B1698</f>
        <v>164.5</v>
      </c>
      <c r="D1698" s="43">
        <f ca="1">WORKDAY(Inputs!$B$3, ROUND(C1698, 0),Sheet2!$A$2:$A$21)</f>
        <v>46259</v>
      </c>
    </row>
    <row r="1699" spans="1:4" x14ac:dyDescent="0.25">
      <c r="A1699" s="42">
        <f t="shared" si="28"/>
        <v>1698</v>
      </c>
      <c r="B1699" s="42" cm="1">
        <f t="array" aca="1" ref="B1699" ca="1">INDEX(Historical!$A$1:$A$18, RANDBETWEEN(1, COUNTA(Historical!$A$1:$A$18)))</f>
        <v>1.1666666666666667</v>
      </c>
      <c r="C1699" s="42">
        <f ca="1">Inputs!$B$2/B1699</f>
        <v>192</v>
      </c>
      <c r="D1699" s="43">
        <f ca="1">WORKDAY(Inputs!$B$3, ROUND(C1699, 0),Sheet2!$A$2:$A$21)</f>
        <v>46297</v>
      </c>
    </row>
    <row r="1700" spans="1:4" x14ac:dyDescent="0.25">
      <c r="A1700" s="42">
        <f t="shared" si="28"/>
        <v>1699</v>
      </c>
      <c r="B1700" s="42" cm="1">
        <f t="array" aca="1" ref="B1700" ca="1">INDEX(Historical!$A$1:$A$18, RANDBETWEEN(1, COUNTA(Historical!$A$1:$A$18)))</f>
        <v>1.3214285714285714</v>
      </c>
      <c r="C1700" s="42">
        <f ca="1">Inputs!$B$2/B1700</f>
        <v>169.51351351351352</v>
      </c>
      <c r="D1700" s="43">
        <f ca="1">WORKDAY(Inputs!$B$3, ROUND(C1700, 0),Sheet2!$A$2:$A$21)</f>
        <v>46266</v>
      </c>
    </row>
    <row r="1701" spans="1:4" x14ac:dyDescent="0.25">
      <c r="A1701" s="42">
        <f t="shared" si="28"/>
        <v>1700</v>
      </c>
      <c r="B1701" s="42" cm="1">
        <f t="array" aca="1" ref="B1701" ca="1">INDEX(Historical!$A$1:$A$18, RANDBETWEEN(1, COUNTA(Historical!$A$1:$A$18)))</f>
        <v>1.4137931034482758</v>
      </c>
      <c r="C1701" s="42">
        <f ca="1">Inputs!$B$2/B1701</f>
        <v>158.4390243902439</v>
      </c>
      <c r="D1701" s="43">
        <f ca="1">WORKDAY(Inputs!$B$3, ROUND(C1701, 0),Sheet2!$A$2:$A$21)</f>
        <v>46248</v>
      </c>
    </row>
    <row r="1702" spans="1:4" x14ac:dyDescent="0.25">
      <c r="A1702" s="42">
        <f t="shared" si="28"/>
        <v>1701</v>
      </c>
      <c r="B1702" s="42" cm="1">
        <f t="array" aca="1" ref="B1702" ca="1">INDEX(Historical!$A$1:$A$18, RANDBETWEEN(1, COUNTA(Historical!$A$1:$A$18)))</f>
        <v>1.3157894736842106</v>
      </c>
      <c r="C1702" s="42">
        <f ca="1">Inputs!$B$2/B1702</f>
        <v>170.23999999999998</v>
      </c>
      <c r="D1702" s="43">
        <f ca="1">WORKDAY(Inputs!$B$3, ROUND(C1702, 0),Sheet2!$A$2:$A$21)</f>
        <v>46266</v>
      </c>
    </row>
    <row r="1703" spans="1:4" x14ac:dyDescent="0.25">
      <c r="A1703" s="42">
        <f t="shared" si="28"/>
        <v>1702</v>
      </c>
      <c r="B1703" s="42" cm="1">
        <f t="array" aca="1" ref="B1703" ca="1">INDEX(Historical!$A$1:$A$18, RANDBETWEEN(1, COUNTA(Historical!$A$1:$A$18)))</f>
        <v>1.3692307692307693</v>
      </c>
      <c r="C1703" s="42">
        <f ca="1">Inputs!$B$2/B1703</f>
        <v>163.59550561797752</v>
      </c>
      <c r="D1703" s="43">
        <f ca="1">WORKDAY(Inputs!$B$3, ROUND(C1703, 0),Sheet2!$A$2:$A$21)</f>
        <v>46258</v>
      </c>
    </row>
    <row r="1704" spans="1:4" x14ac:dyDescent="0.25">
      <c r="A1704" s="42">
        <f t="shared" si="28"/>
        <v>1703</v>
      </c>
      <c r="B1704" s="42" cm="1">
        <f t="array" aca="1" ref="B1704" ca="1">INDEX(Historical!$A$1:$A$18, RANDBETWEEN(1, COUNTA(Historical!$A$1:$A$18)))</f>
        <v>1.290909090909091</v>
      </c>
      <c r="C1704" s="42">
        <f ca="1">Inputs!$B$2/B1704</f>
        <v>173.52112676056336</v>
      </c>
      <c r="D1704" s="43">
        <f ca="1">WORKDAY(Inputs!$B$3, ROUND(C1704, 0),Sheet2!$A$2:$A$21)</f>
        <v>46273</v>
      </c>
    </row>
    <row r="1705" spans="1:4" x14ac:dyDescent="0.25">
      <c r="A1705" s="42">
        <f t="shared" si="28"/>
        <v>1704</v>
      </c>
      <c r="B1705" s="42" cm="1">
        <f t="array" aca="1" ref="B1705" ca="1">INDEX(Historical!$A$1:$A$18, RANDBETWEEN(1, COUNTA(Historical!$A$1:$A$18)))</f>
        <v>1.3707865168539326</v>
      </c>
      <c r="C1705" s="42">
        <f ca="1">Inputs!$B$2/B1705</f>
        <v>163.40983606557376</v>
      </c>
      <c r="D1705" s="43">
        <f ca="1">WORKDAY(Inputs!$B$3, ROUND(C1705, 0),Sheet2!$A$2:$A$21)</f>
        <v>46255</v>
      </c>
    </row>
    <row r="1706" spans="1:4" x14ac:dyDescent="0.25">
      <c r="A1706" s="42">
        <f t="shared" si="28"/>
        <v>1705</v>
      </c>
      <c r="B1706" s="42" cm="1">
        <f t="array" aca="1" ref="B1706" ca="1">INDEX(Historical!$A$1:$A$18, RANDBETWEEN(1, COUNTA(Historical!$A$1:$A$18)))</f>
        <v>1.4761904761904763</v>
      </c>
      <c r="C1706" s="42">
        <f ca="1">Inputs!$B$2/B1706</f>
        <v>151.74193548387095</v>
      </c>
      <c r="D1706" s="43">
        <f ca="1">WORKDAY(Inputs!$B$3, ROUND(C1706, 0),Sheet2!$A$2:$A$21)</f>
        <v>46240</v>
      </c>
    </row>
    <row r="1707" spans="1:4" x14ac:dyDescent="0.25">
      <c r="A1707" s="42">
        <f t="shared" si="28"/>
        <v>1706</v>
      </c>
      <c r="B1707" s="42" cm="1">
        <f t="array" aca="1" ref="B1707" ca="1">INDEX(Historical!$A$1:$A$18, RANDBETWEEN(1, COUNTA(Historical!$A$1:$A$18)))</f>
        <v>1.4761904761904763</v>
      </c>
      <c r="C1707" s="42">
        <f ca="1">Inputs!$B$2/B1707</f>
        <v>151.74193548387095</v>
      </c>
      <c r="D1707" s="43">
        <f ca="1">WORKDAY(Inputs!$B$3, ROUND(C1707, 0),Sheet2!$A$2:$A$21)</f>
        <v>46240</v>
      </c>
    </row>
    <row r="1708" spans="1:4" x14ac:dyDescent="0.25">
      <c r="A1708" s="42">
        <f t="shared" si="28"/>
        <v>1707</v>
      </c>
      <c r="B1708" s="42" cm="1">
        <f t="array" aca="1" ref="B1708" ca="1">INDEX(Historical!$A$1:$A$18, RANDBETWEEN(1, COUNTA(Historical!$A$1:$A$18)))</f>
        <v>1.5</v>
      </c>
      <c r="C1708" s="42">
        <f ca="1">Inputs!$B$2/B1708</f>
        <v>149.33333333333334</v>
      </c>
      <c r="D1708" s="43">
        <f ca="1">WORKDAY(Inputs!$B$3, ROUND(C1708, 0),Sheet2!$A$2:$A$21)</f>
        <v>46237</v>
      </c>
    </row>
    <row r="1709" spans="1:4" x14ac:dyDescent="0.25">
      <c r="A1709" s="42">
        <f t="shared" si="28"/>
        <v>1708</v>
      </c>
      <c r="B1709" s="42" cm="1">
        <f t="array" aca="1" ref="B1709" ca="1">INDEX(Historical!$A$1:$A$18, RANDBETWEEN(1, COUNTA(Historical!$A$1:$A$18)))</f>
        <v>1.5</v>
      </c>
      <c r="C1709" s="42">
        <f ca="1">Inputs!$B$2/B1709</f>
        <v>149.33333333333334</v>
      </c>
      <c r="D1709" s="43">
        <f ca="1">WORKDAY(Inputs!$B$3, ROUND(C1709, 0),Sheet2!$A$2:$A$21)</f>
        <v>46237</v>
      </c>
    </row>
    <row r="1710" spans="1:4" x14ac:dyDescent="0.25">
      <c r="A1710" s="42">
        <f t="shared" si="28"/>
        <v>1709</v>
      </c>
      <c r="B1710" s="42" cm="1">
        <f t="array" aca="1" ref="B1710" ca="1">INDEX(Historical!$A$1:$A$18, RANDBETWEEN(1, COUNTA(Historical!$A$1:$A$18)))</f>
        <v>1.3157894736842106</v>
      </c>
      <c r="C1710" s="42">
        <f ca="1">Inputs!$B$2/B1710</f>
        <v>170.23999999999998</v>
      </c>
      <c r="D1710" s="43">
        <f ca="1">WORKDAY(Inputs!$B$3, ROUND(C1710, 0),Sheet2!$A$2:$A$21)</f>
        <v>46266</v>
      </c>
    </row>
    <row r="1711" spans="1:4" x14ac:dyDescent="0.25">
      <c r="A1711" s="42">
        <f t="shared" si="28"/>
        <v>1710</v>
      </c>
      <c r="B1711" s="42" cm="1">
        <f t="array" aca="1" ref="B1711" ca="1">INDEX(Historical!$A$1:$A$18, RANDBETWEEN(1, COUNTA(Historical!$A$1:$A$18)))</f>
        <v>1.4038461538461537</v>
      </c>
      <c r="C1711" s="42">
        <f ca="1">Inputs!$B$2/B1711</f>
        <v>159.56164383561645</v>
      </c>
      <c r="D1711" s="43">
        <f ca="1">WORKDAY(Inputs!$B$3, ROUND(C1711, 0),Sheet2!$A$2:$A$21)</f>
        <v>46252</v>
      </c>
    </row>
    <row r="1712" spans="1:4" x14ac:dyDescent="0.25">
      <c r="A1712" s="42">
        <f t="shared" si="28"/>
        <v>1711</v>
      </c>
      <c r="B1712" s="42" cm="1">
        <f t="array" aca="1" ref="B1712" ca="1">INDEX(Historical!$A$1:$A$18, RANDBETWEEN(1, COUNTA(Historical!$A$1:$A$18)))</f>
        <v>1.3692307692307693</v>
      </c>
      <c r="C1712" s="42">
        <f ca="1">Inputs!$B$2/B1712</f>
        <v>163.59550561797752</v>
      </c>
      <c r="D1712" s="43">
        <f ca="1">WORKDAY(Inputs!$B$3, ROUND(C1712, 0),Sheet2!$A$2:$A$21)</f>
        <v>46258</v>
      </c>
    </row>
    <row r="1713" spans="1:4" x14ac:dyDescent="0.25">
      <c r="A1713" s="42">
        <f t="shared" si="28"/>
        <v>1712</v>
      </c>
      <c r="B1713" s="42" cm="1">
        <f t="array" aca="1" ref="B1713" ca="1">INDEX(Historical!$A$1:$A$18, RANDBETWEEN(1, COUNTA(Historical!$A$1:$A$18)))</f>
        <v>1.1666666666666667</v>
      </c>
      <c r="C1713" s="42">
        <f ca="1">Inputs!$B$2/B1713</f>
        <v>192</v>
      </c>
      <c r="D1713" s="43">
        <f ca="1">WORKDAY(Inputs!$B$3, ROUND(C1713, 0),Sheet2!$A$2:$A$21)</f>
        <v>46297</v>
      </c>
    </row>
    <row r="1714" spans="1:4" x14ac:dyDescent="0.25">
      <c r="A1714" s="42">
        <f t="shared" si="28"/>
        <v>1713</v>
      </c>
      <c r="B1714" s="42" cm="1">
        <f t="array" aca="1" ref="B1714" ca="1">INDEX(Historical!$A$1:$A$18, RANDBETWEEN(1, COUNTA(Historical!$A$1:$A$18)))</f>
        <v>1.3692307692307693</v>
      </c>
      <c r="C1714" s="42">
        <f ca="1">Inputs!$B$2/B1714</f>
        <v>163.59550561797752</v>
      </c>
      <c r="D1714" s="43">
        <f ca="1">WORKDAY(Inputs!$B$3, ROUND(C1714, 0),Sheet2!$A$2:$A$21)</f>
        <v>46258</v>
      </c>
    </row>
    <row r="1715" spans="1:4" x14ac:dyDescent="0.25">
      <c r="A1715" s="42">
        <f t="shared" si="28"/>
        <v>1714</v>
      </c>
      <c r="B1715" s="42" cm="1">
        <f t="array" aca="1" ref="B1715" ca="1">INDEX(Historical!$A$1:$A$18, RANDBETWEEN(1, COUNTA(Historical!$A$1:$A$18)))</f>
        <v>1.4347826086956521</v>
      </c>
      <c r="C1715" s="42">
        <f ca="1">Inputs!$B$2/B1715</f>
        <v>156.12121212121212</v>
      </c>
      <c r="D1715" s="43">
        <f ca="1">WORKDAY(Inputs!$B$3, ROUND(C1715, 0),Sheet2!$A$2:$A$21)</f>
        <v>46246</v>
      </c>
    </row>
    <row r="1716" spans="1:4" x14ac:dyDescent="0.25">
      <c r="A1716" s="42">
        <f t="shared" si="28"/>
        <v>1715</v>
      </c>
      <c r="B1716" s="42" cm="1">
        <f t="array" aca="1" ref="B1716" ca="1">INDEX(Historical!$A$1:$A$18, RANDBETWEEN(1, COUNTA(Historical!$A$1:$A$18)))</f>
        <v>1.3214285714285714</v>
      </c>
      <c r="C1716" s="42">
        <f ca="1">Inputs!$B$2/B1716</f>
        <v>169.51351351351352</v>
      </c>
      <c r="D1716" s="43">
        <f ca="1">WORKDAY(Inputs!$B$3, ROUND(C1716, 0),Sheet2!$A$2:$A$21)</f>
        <v>46266</v>
      </c>
    </row>
    <row r="1717" spans="1:4" x14ac:dyDescent="0.25">
      <c r="A1717" s="42">
        <f t="shared" si="28"/>
        <v>1716</v>
      </c>
      <c r="B1717" s="42" cm="1">
        <f t="array" aca="1" ref="B1717" ca="1">INDEX(Historical!$A$1:$A$18, RANDBETWEEN(1, COUNTA(Historical!$A$1:$A$18)))</f>
        <v>1.3559322033898304</v>
      </c>
      <c r="C1717" s="42">
        <f ca="1">Inputs!$B$2/B1717</f>
        <v>165.20000000000002</v>
      </c>
      <c r="D1717" s="43">
        <f ca="1">WORKDAY(Inputs!$B$3, ROUND(C1717, 0),Sheet2!$A$2:$A$21)</f>
        <v>46259</v>
      </c>
    </row>
    <row r="1718" spans="1:4" x14ac:dyDescent="0.25">
      <c r="A1718" s="42">
        <f t="shared" si="28"/>
        <v>1717</v>
      </c>
      <c r="B1718" s="42" cm="1">
        <f t="array" aca="1" ref="B1718" ca="1">INDEX(Historical!$A$1:$A$18, RANDBETWEEN(1, COUNTA(Historical!$A$1:$A$18)))</f>
        <v>1.3611111111111112</v>
      </c>
      <c r="C1718" s="42">
        <f ca="1">Inputs!$B$2/B1718</f>
        <v>164.57142857142856</v>
      </c>
      <c r="D1718" s="43">
        <f ca="1">WORKDAY(Inputs!$B$3, ROUND(C1718, 0),Sheet2!$A$2:$A$21)</f>
        <v>46259</v>
      </c>
    </row>
    <row r="1719" spans="1:4" x14ac:dyDescent="0.25">
      <c r="A1719" s="42">
        <f t="shared" si="28"/>
        <v>1718</v>
      </c>
      <c r="B1719" s="42" cm="1">
        <f t="array" aca="1" ref="B1719" ca="1">INDEX(Historical!$A$1:$A$18, RANDBETWEEN(1, COUNTA(Historical!$A$1:$A$18)))</f>
        <v>1.4137931034482758</v>
      </c>
      <c r="C1719" s="42">
        <f ca="1">Inputs!$B$2/B1719</f>
        <v>158.4390243902439</v>
      </c>
      <c r="D1719" s="43">
        <f ca="1">WORKDAY(Inputs!$B$3, ROUND(C1719, 0),Sheet2!$A$2:$A$21)</f>
        <v>46248</v>
      </c>
    </row>
    <row r="1720" spans="1:4" x14ac:dyDescent="0.25">
      <c r="A1720" s="42">
        <f t="shared" si="28"/>
        <v>1719</v>
      </c>
      <c r="B1720" s="42" cm="1">
        <f t="array" aca="1" ref="B1720" ca="1">INDEX(Historical!$A$1:$A$18, RANDBETWEEN(1, COUNTA(Historical!$A$1:$A$18)))</f>
        <v>1.3157894736842106</v>
      </c>
      <c r="C1720" s="42">
        <f ca="1">Inputs!$B$2/B1720</f>
        <v>170.23999999999998</v>
      </c>
      <c r="D1720" s="43">
        <f ca="1">WORKDAY(Inputs!$B$3, ROUND(C1720, 0),Sheet2!$A$2:$A$21)</f>
        <v>46266</v>
      </c>
    </row>
    <row r="1721" spans="1:4" x14ac:dyDescent="0.25">
      <c r="A1721" s="42">
        <f t="shared" si="28"/>
        <v>1720</v>
      </c>
      <c r="B1721" s="42" cm="1">
        <f t="array" aca="1" ref="B1721" ca="1">INDEX(Historical!$A$1:$A$18, RANDBETWEEN(1, COUNTA(Historical!$A$1:$A$18)))</f>
        <v>1.4137931034482758</v>
      </c>
      <c r="C1721" s="42">
        <f ca="1">Inputs!$B$2/B1721</f>
        <v>158.4390243902439</v>
      </c>
      <c r="D1721" s="43">
        <f ca="1">WORKDAY(Inputs!$B$3, ROUND(C1721, 0),Sheet2!$A$2:$A$21)</f>
        <v>46248</v>
      </c>
    </row>
    <row r="1722" spans="1:4" x14ac:dyDescent="0.25">
      <c r="A1722" s="42">
        <f t="shared" si="28"/>
        <v>1721</v>
      </c>
      <c r="B1722" s="42" cm="1">
        <f t="array" aca="1" ref="B1722" ca="1">INDEX(Historical!$A$1:$A$18, RANDBETWEEN(1, COUNTA(Historical!$A$1:$A$18)))</f>
        <v>1.368421052631579</v>
      </c>
      <c r="C1722" s="42">
        <f ca="1">Inputs!$B$2/B1722</f>
        <v>163.69230769230768</v>
      </c>
      <c r="D1722" s="43">
        <f ca="1">WORKDAY(Inputs!$B$3, ROUND(C1722, 0),Sheet2!$A$2:$A$21)</f>
        <v>46258</v>
      </c>
    </row>
    <row r="1723" spans="1:4" x14ac:dyDescent="0.25">
      <c r="A1723" s="42">
        <f t="shared" si="28"/>
        <v>1722</v>
      </c>
      <c r="B1723" s="42" cm="1">
        <f t="array" aca="1" ref="B1723" ca="1">INDEX(Historical!$A$1:$A$18, RANDBETWEEN(1, COUNTA(Historical!$A$1:$A$18)))</f>
        <v>1.4038461538461537</v>
      </c>
      <c r="C1723" s="42">
        <f ca="1">Inputs!$B$2/B1723</f>
        <v>159.56164383561645</v>
      </c>
      <c r="D1723" s="43">
        <f ca="1">WORKDAY(Inputs!$B$3, ROUND(C1723, 0),Sheet2!$A$2:$A$21)</f>
        <v>46252</v>
      </c>
    </row>
    <row r="1724" spans="1:4" x14ac:dyDescent="0.25">
      <c r="A1724" s="42">
        <f t="shared" si="28"/>
        <v>1723</v>
      </c>
      <c r="B1724" s="42" cm="1">
        <f t="array" aca="1" ref="B1724" ca="1">INDEX(Historical!$A$1:$A$18, RANDBETWEEN(1, COUNTA(Historical!$A$1:$A$18)))</f>
        <v>1.368421052631579</v>
      </c>
      <c r="C1724" s="42">
        <f ca="1">Inputs!$B$2/B1724</f>
        <v>163.69230769230768</v>
      </c>
      <c r="D1724" s="43">
        <f ca="1">WORKDAY(Inputs!$B$3, ROUND(C1724, 0),Sheet2!$A$2:$A$21)</f>
        <v>46258</v>
      </c>
    </row>
    <row r="1725" spans="1:4" x14ac:dyDescent="0.25">
      <c r="A1725" s="42">
        <f t="shared" si="28"/>
        <v>1724</v>
      </c>
      <c r="B1725" s="42" cm="1">
        <f t="array" aca="1" ref="B1725" ca="1">INDEX(Historical!$A$1:$A$18, RANDBETWEEN(1, COUNTA(Historical!$A$1:$A$18)))</f>
        <v>1.5</v>
      </c>
      <c r="C1725" s="42">
        <f ca="1">Inputs!$B$2/B1725</f>
        <v>149.33333333333334</v>
      </c>
      <c r="D1725" s="43">
        <f ca="1">WORKDAY(Inputs!$B$3, ROUND(C1725, 0),Sheet2!$A$2:$A$21)</f>
        <v>46237</v>
      </c>
    </row>
    <row r="1726" spans="1:4" x14ac:dyDescent="0.25">
      <c r="A1726" s="42">
        <f t="shared" si="28"/>
        <v>1725</v>
      </c>
      <c r="B1726" s="42" cm="1">
        <f t="array" aca="1" ref="B1726" ca="1">INDEX(Historical!$A$1:$A$18, RANDBETWEEN(1, COUNTA(Historical!$A$1:$A$18)))</f>
        <v>1.3214285714285714</v>
      </c>
      <c r="C1726" s="42">
        <f ca="1">Inputs!$B$2/B1726</f>
        <v>169.51351351351352</v>
      </c>
      <c r="D1726" s="43">
        <f ca="1">WORKDAY(Inputs!$B$3, ROUND(C1726, 0),Sheet2!$A$2:$A$21)</f>
        <v>46266</v>
      </c>
    </row>
    <row r="1727" spans="1:4" x14ac:dyDescent="0.25">
      <c r="A1727" s="42">
        <f t="shared" si="28"/>
        <v>1726</v>
      </c>
      <c r="B1727" s="42" cm="1">
        <f t="array" aca="1" ref="B1727" ca="1">INDEX(Historical!$A$1:$A$18, RANDBETWEEN(1, COUNTA(Historical!$A$1:$A$18)))</f>
        <v>1.3157894736842106</v>
      </c>
      <c r="C1727" s="42">
        <f ca="1">Inputs!$B$2/B1727</f>
        <v>170.23999999999998</v>
      </c>
      <c r="D1727" s="43">
        <f ca="1">WORKDAY(Inputs!$B$3, ROUND(C1727, 0),Sheet2!$A$2:$A$21)</f>
        <v>46266</v>
      </c>
    </row>
    <row r="1728" spans="1:4" x14ac:dyDescent="0.25">
      <c r="A1728" s="42">
        <f t="shared" si="28"/>
        <v>1727</v>
      </c>
      <c r="B1728" s="42" cm="1">
        <f t="array" aca="1" ref="B1728" ca="1">INDEX(Historical!$A$1:$A$18, RANDBETWEEN(1, COUNTA(Historical!$A$1:$A$18)))</f>
        <v>1.4137931034482758</v>
      </c>
      <c r="C1728" s="42">
        <f ca="1">Inputs!$B$2/B1728</f>
        <v>158.4390243902439</v>
      </c>
      <c r="D1728" s="43">
        <f ca="1">WORKDAY(Inputs!$B$3, ROUND(C1728, 0),Sheet2!$A$2:$A$21)</f>
        <v>46248</v>
      </c>
    </row>
    <row r="1729" spans="1:4" x14ac:dyDescent="0.25">
      <c r="A1729" s="42">
        <f t="shared" si="28"/>
        <v>1728</v>
      </c>
      <c r="B1729" s="42" cm="1">
        <f t="array" aca="1" ref="B1729" ca="1">INDEX(Historical!$A$1:$A$18, RANDBETWEEN(1, COUNTA(Historical!$A$1:$A$18)))</f>
        <v>1.3559322033898304</v>
      </c>
      <c r="C1729" s="42">
        <f ca="1">Inputs!$B$2/B1729</f>
        <v>165.20000000000002</v>
      </c>
      <c r="D1729" s="43">
        <f ca="1">WORKDAY(Inputs!$B$3, ROUND(C1729, 0),Sheet2!$A$2:$A$21)</f>
        <v>46259</v>
      </c>
    </row>
    <row r="1730" spans="1:4" x14ac:dyDescent="0.25">
      <c r="A1730" s="42">
        <f t="shared" si="28"/>
        <v>1729</v>
      </c>
      <c r="B1730" s="42" cm="1">
        <f t="array" aca="1" ref="B1730" ca="1">INDEX(Historical!$A$1:$A$18, RANDBETWEEN(1, COUNTA(Historical!$A$1:$A$18)))</f>
        <v>1.4038461538461537</v>
      </c>
      <c r="C1730" s="42">
        <f ca="1">Inputs!$B$2/B1730</f>
        <v>159.56164383561645</v>
      </c>
      <c r="D1730" s="43">
        <f ca="1">WORKDAY(Inputs!$B$3, ROUND(C1730, 0),Sheet2!$A$2:$A$21)</f>
        <v>46252</v>
      </c>
    </row>
    <row r="1731" spans="1:4" x14ac:dyDescent="0.25">
      <c r="A1731" s="42">
        <f t="shared" ref="A1731:A1794" si="29">ROW()-1</f>
        <v>1730</v>
      </c>
      <c r="B1731" s="42" cm="1">
        <f t="array" aca="1" ref="B1731" ca="1">INDEX(Historical!$A$1:$A$18, RANDBETWEEN(1, COUNTA(Historical!$A$1:$A$18)))</f>
        <v>1.3692307692307693</v>
      </c>
      <c r="C1731" s="42">
        <f ca="1">Inputs!$B$2/B1731</f>
        <v>163.59550561797752</v>
      </c>
      <c r="D1731" s="43">
        <f ca="1">WORKDAY(Inputs!$B$3, ROUND(C1731, 0),Sheet2!$A$2:$A$21)</f>
        <v>46258</v>
      </c>
    </row>
    <row r="1732" spans="1:4" x14ac:dyDescent="0.25">
      <c r="A1732" s="42">
        <f t="shared" si="29"/>
        <v>1731</v>
      </c>
      <c r="B1732" s="42" cm="1">
        <f t="array" aca="1" ref="B1732" ca="1">INDEX(Historical!$A$1:$A$18, RANDBETWEEN(1, COUNTA(Historical!$A$1:$A$18)))</f>
        <v>1.4038461538461537</v>
      </c>
      <c r="C1732" s="42">
        <f ca="1">Inputs!$B$2/B1732</f>
        <v>159.56164383561645</v>
      </c>
      <c r="D1732" s="43">
        <f ca="1">WORKDAY(Inputs!$B$3, ROUND(C1732, 0),Sheet2!$A$2:$A$21)</f>
        <v>46252</v>
      </c>
    </row>
    <row r="1733" spans="1:4" x14ac:dyDescent="0.25">
      <c r="A1733" s="42">
        <f t="shared" si="29"/>
        <v>1732</v>
      </c>
      <c r="B1733" s="42" cm="1">
        <f t="array" aca="1" ref="B1733" ca="1">INDEX(Historical!$A$1:$A$18, RANDBETWEEN(1, COUNTA(Historical!$A$1:$A$18)))</f>
        <v>1.5</v>
      </c>
      <c r="C1733" s="42">
        <f ca="1">Inputs!$B$2/B1733</f>
        <v>149.33333333333334</v>
      </c>
      <c r="D1733" s="43">
        <f ca="1">WORKDAY(Inputs!$B$3, ROUND(C1733, 0),Sheet2!$A$2:$A$21)</f>
        <v>46237</v>
      </c>
    </row>
    <row r="1734" spans="1:4" x14ac:dyDescent="0.25">
      <c r="A1734" s="42">
        <f t="shared" si="29"/>
        <v>1733</v>
      </c>
      <c r="B1734" s="42" cm="1">
        <f t="array" aca="1" ref="B1734" ca="1">INDEX(Historical!$A$1:$A$18, RANDBETWEEN(1, COUNTA(Historical!$A$1:$A$18)))</f>
        <v>1.3617021276595744</v>
      </c>
      <c r="C1734" s="42">
        <f ca="1">Inputs!$B$2/B1734</f>
        <v>164.5</v>
      </c>
      <c r="D1734" s="43">
        <f ca="1">WORKDAY(Inputs!$B$3, ROUND(C1734, 0),Sheet2!$A$2:$A$21)</f>
        <v>46259</v>
      </c>
    </row>
    <row r="1735" spans="1:4" x14ac:dyDescent="0.25">
      <c r="A1735" s="42">
        <f t="shared" si="29"/>
        <v>1734</v>
      </c>
      <c r="B1735" s="42" cm="1">
        <f t="array" aca="1" ref="B1735" ca="1">INDEX(Historical!$A$1:$A$18, RANDBETWEEN(1, COUNTA(Historical!$A$1:$A$18)))</f>
        <v>1.5</v>
      </c>
      <c r="C1735" s="42">
        <f ca="1">Inputs!$B$2/B1735</f>
        <v>149.33333333333334</v>
      </c>
      <c r="D1735" s="43">
        <f ca="1">WORKDAY(Inputs!$B$3, ROUND(C1735, 0),Sheet2!$A$2:$A$21)</f>
        <v>46237</v>
      </c>
    </row>
    <row r="1736" spans="1:4" x14ac:dyDescent="0.25">
      <c r="A1736" s="42">
        <f t="shared" si="29"/>
        <v>1735</v>
      </c>
      <c r="B1736" s="42" cm="1">
        <f t="array" aca="1" ref="B1736" ca="1">INDEX(Historical!$A$1:$A$18, RANDBETWEEN(1, COUNTA(Historical!$A$1:$A$18)))</f>
        <v>1.4347826086956521</v>
      </c>
      <c r="C1736" s="42">
        <f ca="1">Inputs!$B$2/B1736</f>
        <v>156.12121212121212</v>
      </c>
      <c r="D1736" s="43">
        <f ca="1">WORKDAY(Inputs!$B$3, ROUND(C1736, 0),Sheet2!$A$2:$A$21)</f>
        <v>46246</v>
      </c>
    </row>
    <row r="1737" spans="1:4" x14ac:dyDescent="0.25">
      <c r="A1737" s="42">
        <f t="shared" si="29"/>
        <v>1736</v>
      </c>
      <c r="B1737" s="42" cm="1">
        <f t="array" aca="1" ref="B1737" ca="1">INDEX(Historical!$A$1:$A$18, RANDBETWEEN(1, COUNTA(Historical!$A$1:$A$18)))</f>
        <v>1.3707865168539326</v>
      </c>
      <c r="C1737" s="42">
        <f ca="1">Inputs!$B$2/B1737</f>
        <v>163.40983606557376</v>
      </c>
      <c r="D1737" s="43">
        <f ca="1">WORKDAY(Inputs!$B$3, ROUND(C1737, 0),Sheet2!$A$2:$A$21)</f>
        <v>46255</v>
      </c>
    </row>
    <row r="1738" spans="1:4" x14ac:dyDescent="0.25">
      <c r="A1738" s="42">
        <f t="shared" si="29"/>
        <v>1737</v>
      </c>
      <c r="B1738" s="42" cm="1">
        <f t="array" aca="1" ref="B1738" ca="1">INDEX(Historical!$A$1:$A$18, RANDBETWEEN(1, COUNTA(Historical!$A$1:$A$18)))</f>
        <v>1.4761904761904763</v>
      </c>
      <c r="C1738" s="42">
        <f ca="1">Inputs!$B$2/B1738</f>
        <v>151.74193548387095</v>
      </c>
      <c r="D1738" s="43">
        <f ca="1">WORKDAY(Inputs!$B$3, ROUND(C1738, 0),Sheet2!$A$2:$A$21)</f>
        <v>46240</v>
      </c>
    </row>
    <row r="1739" spans="1:4" x14ac:dyDescent="0.25">
      <c r="A1739" s="42">
        <f t="shared" si="29"/>
        <v>1738</v>
      </c>
      <c r="B1739" s="42" cm="1">
        <f t="array" aca="1" ref="B1739" ca="1">INDEX(Historical!$A$1:$A$18, RANDBETWEEN(1, COUNTA(Historical!$A$1:$A$18)))</f>
        <v>1.375</v>
      </c>
      <c r="C1739" s="42">
        <f ca="1">Inputs!$B$2/B1739</f>
        <v>162.90909090909091</v>
      </c>
      <c r="D1739" s="43">
        <f ca="1">WORKDAY(Inputs!$B$3, ROUND(C1739, 0),Sheet2!$A$2:$A$21)</f>
        <v>46255</v>
      </c>
    </row>
    <row r="1740" spans="1:4" x14ac:dyDescent="0.25">
      <c r="A1740" s="42">
        <f t="shared" si="29"/>
        <v>1739</v>
      </c>
      <c r="B1740" s="42" cm="1">
        <f t="array" aca="1" ref="B1740" ca="1">INDEX(Historical!$A$1:$A$18, RANDBETWEEN(1, COUNTA(Historical!$A$1:$A$18)))</f>
        <v>1.4137931034482758</v>
      </c>
      <c r="C1740" s="42">
        <f ca="1">Inputs!$B$2/B1740</f>
        <v>158.4390243902439</v>
      </c>
      <c r="D1740" s="43">
        <f ca="1">WORKDAY(Inputs!$B$3, ROUND(C1740, 0),Sheet2!$A$2:$A$21)</f>
        <v>46248</v>
      </c>
    </row>
    <row r="1741" spans="1:4" x14ac:dyDescent="0.25">
      <c r="A1741" s="42">
        <f t="shared" si="29"/>
        <v>1740</v>
      </c>
      <c r="B1741" s="42" cm="1">
        <f t="array" aca="1" ref="B1741" ca="1">INDEX(Historical!$A$1:$A$18, RANDBETWEEN(1, COUNTA(Historical!$A$1:$A$18)))</f>
        <v>1.303030303030303</v>
      </c>
      <c r="C1741" s="42">
        <f ca="1">Inputs!$B$2/B1741</f>
        <v>171.90697674418604</v>
      </c>
      <c r="D1741" s="43">
        <f ca="1">WORKDAY(Inputs!$B$3, ROUND(C1741, 0),Sheet2!$A$2:$A$21)</f>
        <v>46268</v>
      </c>
    </row>
    <row r="1742" spans="1:4" x14ac:dyDescent="0.25">
      <c r="A1742" s="42">
        <f t="shared" si="29"/>
        <v>1741</v>
      </c>
      <c r="B1742" s="42" cm="1">
        <f t="array" aca="1" ref="B1742" ca="1">INDEX(Historical!$A$1:$A$18, RANDBETWEEN(1, COUNTA(Historical!$A$1:$A$18)))</f>
        <v>1.303030303030303</v>
      </c>
      <c r="C1742" s="42">
        <f ca="1">Inputs!$B$2/B1742</f>
        <v>171.90697674418604</v>
      </c>
      <c r="D1742" s="43">
        <f ca="1">WORKDAY(Inputs!$B$3, ROUND(C1742, 0),Sheet2!$A$2:$A$21)</f>
        <v>46268</v>
      </c>
    </row>
    <row r="1743" spans="1:4" x14ac:dyDescent="0.25">
      <c r="A1743" s="42">
        <f t="shared" si="29"/>
        <v>1742</v>
      </c>
      <c r="B1743" s="42" cm="1">
        <f t="array" aca="1" ref="B1743" ca="1">INDEX(Historical!$A$1:$A$18, RANDBETWEEN(1, COUNTA(Historical!$A$1:$A$18)))</f>
        <v>1.375</v>
      </c>
      <c r="C1743" s="42">
        <f ca="1">Inputs!$B$2/B1743</f>
        <v>162.90909090909091</v>
      </c>
      <c r="D1743" s="43">
        <f ca="1">WORKDAY(Inputs!$B$3, ROUND(C1743, 0),Sheet2!$A$2:$A$21)</f>
        <v>46255</v>
      </c>
    </row>
    <row r="1744" spans="1:4" x14ac:dyDescent="0.25">
      <c r="A1744" s="42">
        <f t="shared" si="29"/>
        <v>1743</v>
      </c>
      <c r="B1744" s="42" cm="1">
        <f t="array" aca="1" ref="B1744" ca="1">INDEX(Historical!$A$1:$A$18, RANDBETWEEN(1, COUNTA(Historical!$A$1:$A$18)))</f>
        <v>1.3707865168539326</v>
      </c>
      <c r="C1744" s="42">
        <f ca="1">Inputs!$B$2/B1744</f>
        <v>163.40983606557376</v>
      </c>
      <c r="D1744" s="43">
        <f ca="1">WORKDAY(Inputs!$B$3, ROUND(C1744, 0),Sheet2!$A$2:$A$21)</f>
        <v>46255</v>
      </c>
    </row>
    <row r="1745" spans="1:4" x14ac:dyDescent="0.25">
      <c r="A1745" s="42">
        <f t="shared" si="29"/>
        <v>1744</v>
      </c>
      <c r="B1745" s="42" cm="1">
        <f t="array" aca="1" ref="B1745" ca="1">INDEX(Historical!$A$1:$A$18, RANDBETWEEN(1, COUNTA(Historical!$A$1:$A$18)))</f>
        <v>1.3707865168539326</v>
      </c>
      <c r="C1745" s="42">
        <f ca="1">Inputs!$B$2/B1745</f>
        <v>163.40983606557376</v>
      </c>
      <c r="D1745" s="43">
        <f ca="1">WORKDAY(Inputs!$B$3, ROUND(C1745, 0),Sheet2!$A$2:$A$21)</f>
        <v>46255</v>
      </c>
    </row>
    <row r="1746" spans="1:4" x14ac:dyDescent="0.25">
      <c r="A1746" s="42">
        <f t="shared" si="29"/>
        <v>1745</v>
      </c>
      <c r="B1746" s="42" cm="1">
        <f t="array" aca="1" ref="B1746" ca="1">INDEX(Historical!$A$1:$A$18, RANDBETWEEN(1, COUNTA(Historical!$A$1:$A$18)))</f>
        <v>1.290909090909091</v>
      </c>
      <c r="C1746" s="42">
        <f ca="1">Inputs!$B$2/B1746</f>
        <v>173.52112676056336</v>
      </c>
      <c r="D1746" s="43">
        <f ca="1">WORKDAY(Inputs!$B$3, ROUND(C1746, 0),Sheet2!$A$2:$A$21)</f>
        <v>46273</v>
      </c>
    </row>
    <row r="1747" spans="1:4" x14ac:dyDescent="0.25">
      <c r="A1747" s="42">
        <f t="shared" si="29"/>
        <v>1746</v>
      </c>
      <c r="B1747" s="42" cm="1">
        <f t="array" aca="1" ref="B1747" ca="1">INDEX(Historical!$A$1:$A$18, RANDBETWEEN(1, COUNTA(Historical!$A$1:$A$18)))</f>
        <v>1.4761904761904763</v>
      </c>
      <c r="C1747" s="42">
        <f ca="1">Inputs!$B$2/B1747</f>
        <v>151.74193548387095</v>
      </c>
      <c r="D1747" s="43">
        <f ca="1">WORKDAY(Inputs!$B$3, ROUND(C1747, 0),Sheet2!$A$2:$A$21)</f>
        <v>46240</v>
      </c>
    </row>
    <row r="1748" spans="1:4" x14ac:dyDescent="0.25">
      <c r="A1748" s="42">
        <f t="shared" si="29"/>
        <v>1747</v>
      </c>
      <c r="B1748" s="42" cm="1">
        <f t="array" aca="1" ref="B1748" ca="1">INDEX(Historical!$A$1:$A$18, RANDBETWEEN(1, COUNTA(Historical!$A$1:$A$18)))</f>
        <v>1.3559322033898304</v>
      </c>
      <c r="C1748" s="42">
        <f ca="1">Inputs!$B$2/B1748</f>
        <v>165.20000000000002</v>
      </c>
      <c r="D1748" s="43">
        <f ca="1">WORKDAY(Inputs!$B$3, ROUND(C1748, 0),Sheet2!$A$2:$A$21)</f>
        <v>46259</v>
      </c>
    </row>
    <row r="1749" spans="1:4" x14ac:dyDescent="0.25">
      <c r="A1749" s="42">
        <f t="shared" si="29"/>
        <v>1748</v>
      </c>
      <c r="B1749" s="42" cm="1">
        <f t="array" aca="1" ref="B1749" ca="1">INDEX(Historical!$A$1:$A$18, RANDBETWEEN(1, COUNTA(Historical!$A$1:$A$18)))</f>
        <v>1.375</v>
      </c>
      <c r="C1749" s="42">
        <f ca="1">Inputs!$B$2/B1749</f>
        <v>162.90909090909091</v>
      </c>
      <c r="D1749" s="43">
        <f ca="1">WORKDAY(Inputs!$B$3, ROUND(C1749, 0),Sheet2!$A$2:$A$21)</f>
        <v>46255</v>
      </c>
    </row>
    <row r="1750" spans="1:4" x14ac:dyDescent="0.25">
      <c r="A1750" s="42">
        <f t="shared" si="29"/>
        <v>1749</v>
      </c>
      <c r="B1750" s="42" cm="1">
        <f t="array" aca="1" ref="B1750" ca="1">INDEX(Historical!$A$1:$A$18, RANDBETWEEN(1, COUNTA(Historical!$A$1:$A$18)))</f>
        <v>1.290909090909091</v>
      </c>
      <c r="C1750" s="42">
        <f ca="1">Inputs!$B$2/B1750</f>
        <v>173.52112676056336</v>
      </c>
      <c r="D1750" s="43">
        <f ca="1">WORKDAY(Inputs!$B$3, ROUND(C1750, 0),Sheet2!$A$2:$A$21)</f>
        <v>46273</v>
      </c>
    </row>
    <row r="1751" spans="1:4" x14ac:dyDescent="0.25">
      <c r="A1751" s="42">
        <f t="shared" si="29"/>
        <v>1750</v>
      </c>
      <c r="B1751" s="42" cm="1">
        <f t="array" aca="1" ref="B1751" ca="1">INDEX(Historical!$A$1:$A$18, RANDBETWEEN(1, COUNTA(Historical!$A$1:$A$18)))</f>
        <v>1.3214285714285714</v>
      </c>
      <c r="C1751" s="42">
        <f ca="1">Inputs!$B$2/B1751</f>
        <v>169.51351351351352</v>
      </c>
      <c r="D1751" s="43">
        <f ca="1">WORKDAY(Inputs!$B$3, ROUND(C1751, 0),Sheet2!$A$2:$A$21)</f>
        <v>46266</v>
      </c>
    </row>
    <row r="1752" spans="1:4" x14ac:dyDescent="0.25">
      <c r="A1752" s="42">
        <f t="shared" si="29"/>
        <v>1751</v>
      </c>
      <c r="B1752" s="42" cm="1">
        <f t="array" aca="1" ref="B1752" ca="1">INDEX(Historical!$A$1:$A$18, RANDBETWEEN(1, COUNTA(Historical!$A$1:$A$18)))</f>
        <v>1.303030303030303</v>
      </c>
      <c r="C1752" s="42">
        <f ca="1">Inputs!$B$2/B1752</f>
        <v>171.90697674418604</v>
      </c>
      <c r="D1752" s="43">
        <f ca="1">WORKDAY(Inputs!$B$3, ROUND(C1752, 0),Sheet2!$A$2:$A$21)</f>
        <v>46268</v>
      </c>
    </row>
    <row r="1753" spans="1:4" x14ac:dyDescent="0.25">
      <c r="A1753" s="42">
        <f t="shared" si="29"/>
        <v>1752</v>
      </c>
      <c r="B1753" s="42" cm="1">
        <f t="array" aca="1" ref="B1753" ca="1">INDEX(Historical!$A$1:$A$18, RANDBETWEEN(1, COUNTA(Historical!$A$1:$A$18)))</f>
        <v>1.368421052631579</v>
      </c>
      <c r="C1753" s="42">
        <f ca="1">Inputs!$B$2/B1753</f>
        <v>163.69230769230768</v>
      </c>
      <c r="D1753" s="43">
        <f ca="1">WORKDAY(Inputs!$B$3, ROUND(C1753, 0),Sheet2!$A$2:$A$21)</f>
        <v>46258</v>
      </c>
    </row>
    <row r="1754" spans="1:4" x14ac:dyDescent="0.25">
      <c r="A1754" s="42">
        <f t="shared" si="29"/>
        <v>1753</v>
      </c>
      <c r="B1754" s="42" cm="1">
        <f t="array" aca="1" ref="B1754" ca="1">INDEX(Historical!$A$1:$A$18, RANDBETWEEN(1, COUNTA(Historical!$A$1:$A$18)))</f>
        <v>1.3559322033898304</v>
      </c>
      <c r="C1754" s="42">
        <f ca="1">Inputs!$B$2/B1754</f>
        <v>165.20000000000002</v>
      </c>
      <c r="D1754" s="43">
        <f ca="1">WORKDAY(Inputs!$B$3, ROUND(C1754, 0),Sheet2!$A$2:$A$21)</f>
        <v>46259</v>
      </c>
    </row>
    <row r="1755" spans="1:4" x14ac:dyDescent="0.25">
      <c r="A1755" s="42">
        <f t="shared" si="29"/>
        <v>1754</v>
      </c>
      <c r="B1755" s="42" cm="1">
        <f t="array" aca="1" ref="B1755" ca="1">INDEX(Historical!$A$1:$A$18, RANDBETWEEN(1, COUNTA(Historical!$A$1:$A$18)))</f>
        <v>1.4761904761904763</v>
      </c>
      <c r="C1755" s="42">
        <f ca="1">Inputs!$B$2/B1755</f>
        <v>151.74193548387095</v>
      </c>
      <c r="D1755" s="43">
        <f ca="1">WORKDAY(Inputs!$B$3, ROUND(C1755, 0),Sheet2!$A$2:$A$21)</f>
        <v>46240</v>
      </c>
    </row>
    <row r="1756" spans="1:4" x14ac:dyDescent="0.25">
      <c r="A1756" s="42">
        <f t="shared" si="29"/>
        <v>1755</v>
      </c>
      <c r="B1756" s="42" cm="1">
        <f t="array" aca="1" ref="B1756" ca="1">INDEX(Historical!$A$1:$A$18, RANDBETWEEN(1, COUNTA(Historical!$A$1:$A$18)))</f>
        <v>1.4137931034482758</v>
      </c>
      <c r="C1756" s="42">
        <f ca="1">Inputs!$B$2/B1756</f>
        <v>158.4390243902439</v>
      </c>
      <c r="D1756" s="43">
        <f ca="1">WORKDAY(Inputs!$B$3, ROUND(C1756, 0),Sheet2!$A$2:$A$21)</f>
        <v>46248</v>
      </c>
    </row>
    <row r="1757" spans="1:4" x14ac:dyDescent="0.25">
      <c r="A1757" s="42">
        <f t="shared" si="29"/>
        <v>1756</v>
      </c>
      <c r="B1757" s="42" cm="1">
        <f t="array" aca="1" ref="B1757" ca="1">INDEX(Historical!$A$1:$A$18, RANDBETWEEN(1, COUNTA(Historical!$A$1:$A$18)))</f>
        <v>1.5</v>
      </c>
      <c r="C1757" s="42">
        <f ca="1">Inputs!$B$2/B1757</f>
        <v>149.33333333333334</v>
      </c>
      <c r="D1757" s="43">
        <f ca="1">WORKDAY(Inputs!$B$3, ROUND(C1757, 0),Sheet2!$A$2:$A$21)</f>
        <v>46237</v>
      </c>
    </row>
    <row r="1758" spans="1:4" x14ac:dyDescent="0.25">
      <c r="A1758" s="42">
        <f t="shared" si="29"/>
        <v>1757</v>
      </c>
      <c r="B1758" s="42" cm="1">
        <f t="array" aca="1" ref="B1758" ca="1">INDEX(Historical!$A$1:$A$18, RANDBETWEEN(1, COUNTA(Historical!$A$1:$A$18)))</f>
        <v>1.3559322033898304</v>
      </c>
      <c r="C1758" s="42">
        <f ca="1">Inputs!$B$2/B1758</f>
        <v>165.20000000000002</v>
      </c>
      <c r="D1758" s="43">
        <f ca="1">WORKDAY(Inputs!$B$3, ROUND(C1758, 0),Sheet2!$A$2:$A$21)</f>
        <v>46259</v>
      </c>
    </row>
    <row r="1759" spans="1:4" x14ac:dyDescent="0.25">
      <c r="A1759" s="42">
        <f t="shared" si="29"/>
        <v>1758</v>
      </c>
      <c r="B1759" s="42" cm="1">
        <f t="array" aca="1" ref="B1759" ca="1">INDEX(Historical!$A$1:$A$18, RANDBETWEEN(1, COUNTA(Historical!$A$1:$A$18)))</f>
        <v>1.3617021276595744</v>
      </c>
      <c r="C1759" s="42">
        <f ca="1">Inputs!$B$2/B1759</f>
        <v>164.5</v>
      </c>
      <c r="D1759" s="43">
        <f ca="1">WORKDAY(Inputs!$B$3, ROUND(C1759, 0),Sheet2!$A$2:$A$21)</f>
        <v>46259</v>
      </c>
    </row>
    <row r="1760" spans="1:4" x14ac:dyDescent="0.25">
      <c r="A1760" s="42">
        <f t="shared" si="29"/>
        <v>1759</v>
      </c>
      <c r="B1760" s="42" cm="1">
        <f t="array" aca="1" ref="B1760" ca="1">INDEX(Historical!$A$1:$A$18, RANDBETWEEN(1, COUNTA(Historical!$A$1:$A$18)))</f>
        <v>1.3157894736842106</v>
      </c>
      <c r="C1760" s="42">
        <f ca="1">Inputs!$B$2/B1760</f>
        <v>170.23999999999998</v>
      </c>
      <c r="D1760" s="43">
        <f ca="1">WORKDAY(Inputs!$B$3, ROUND(C1760, 0),Sheet2!$A$2:$A$21)</f>
        <v>46266</v>
      </c>
    </row>
    <row r="1761" spans="1:4" x14ac:dyDescent="0.25">
      <c r="A1761" s="42">
        <f t="shared" si="29"/>
        <v>1760</v>
      </c>
      <c r="B1761" s="42" cm="1">
        <f t="array" aca="1" ref="B1761" ca="1">INDEX(Historical!$A$1:$A$18, RANDBETWEEN(1, COUNTA(Historical!$A$1:$A$18)))</f>
        <v>1.5</v>
      </c>
      <c r="C1761" s="42">
        <f ca="1">Inputs!$B$2/B1761</f>
        <v>149.33333333333334</v>
      </c>
      <c r="D1761" s="43">
        <f ca="1">WORKDAY(Inputs!$B$3, ROUND(C1761, 0),Sheet2!$A$2:$A$21)</f>
        <v>46237</v>
      </c>
    </row>
    <row r="1762" spans="1:4" x14ac:dyDescent="0.25">
      <c r="A1762" s="42">
        <f t="shared" si="29"/>
        <v>1761</v>
      </c>
      <c r="B1762" s="42" cm="1">
        <f t="array" aca="1" ref="B1762" ca="1">INDEX(Historical!$A$1:$A$18, RANDBETWEEN(1, COUNTA(Historical!$A$1:$A$18)))</f>
        <v>1.2941176470588236</v>
      </c>
      <c r="C1762" s="42">
        <f ca="1">Inputs!$B$2/B1762</f>
        <v>173.09090909090909</v>
      </c>
      <c r="D1762" s="43">
        <f ca="1">WORKDAY(Inputs!$B$3, ROUND(C1762, 0),Sheet2!$A$2:$A$21)</f>
        <v>46269</v>
      </c>
    </row>
    <row r="1763" spans="1:4" x14ac:dyDescent="0.25">
      <c r="A1763" s="42">
        <f t="shared" si="29"/>
        <v>1762</v>
      </c>
      <c r="B1763" s="42" cm="1">
        <f t="array" aca="1" ref="B1763" ca="1">INDEX(Historical!$A$1:$A$18, RANDBETWEEN(1, COUNTA(Historical!$A$1:$A$18)))</f>
        <v>1.303030303030303</v>
      </c>
      <c r="C1763" s="42">
        <f ca="1">Inputs!$B$2/B1763</f>
        <v>171.90697674418604</v>
      </c>
      <c r="D1763" s="43">
        <f ca="1">WORKDAY(Inputs!$B$3, ROUND(C1763, 0),Sheet2!$A$2:$A$21)</f>
        <v>46268</v>
      </c>
    </row>
    <row r="1764" spans="1:4" x14ac:dyDescent="0.25">
      <c r="A1764" s="42">
        <f t="shared" si="29"/>
        <v>1763</v>
      </c>
      <c r="B1764" s="42" cm="1">
        <f t="array" aca="1" ref="B1764" ca="1">INDEX(Historical!$A$1:$A$18, RANDBETWEEN(1, COUNTA(Historical!$A$1:$A$18)))</f>
        <v>1.3214285714285714</v>
      </c>
      <c r="C1764" s="42">
        <f ca="1">Inputs!$B$2/B1764</f>
        <v>169.51351351351352</v>
      </c>
      <c r="D1764" s="43">
        <f ca="1">WORKDAY(Inputs!$B$3, ROUND(C1764, 0),Sheet2!$A$2:$A$21)</f>
        <v>46266</v>
      </c>
    </row>
    <row r="1765" spans="1:4" x14ac:dyDescent="0.25">
      <c r="A1765" s="42">
        <f t="shared" si="29"/>
        <v>1764</v>
      </c>
      <c r="B1765" s="42" cm="1">
        <f t="array" aca="1" ref="B1765" ca="1">INDEX(Historical!$A$1:$A$18, RANDBETWEEN(1, COUNTA(Historical!$A$1:$A$18)))</f>
        <v>1.3214285714285714</v>
      </c>
      <c r="C1765" s="42">
        <f ca="1">Inputs!$B$2/B1765</f>
        <v>169.51351351351352</v>
      </c>
      <c r="D1765" s="43">
        <f ca="1">WORKDAY(Inputs!$B$3, ROUND(C1765, 0),Sheet2!$A$2:$A$21)</f>
        <v>46266</v>
      </c>
    </row>
    <row r="1766" spans="1:4" x14ac:dyDescent="0.25">
      <c r="A1766" s="42">
        <f t="shared" si="29"/>
        <v>1765</v>
      </c>
      <c r="B1766" s="42" cm="1">
        <f t="array" aca="1" ref="B1766" ca="1">INDEX(Historical!$A$1:$A$18, RANDBETWEEN(1, COUNTA(Historical!$A$1:$A$18)))</f>
        <v>1.3214285714285714</v>
      </c>
      <c r="C1766" s="42">
        <f ca="1">Inputs!$B$2/B1766</f>
        <v>169.51351351351352</v>
      </c>
      <c r="D1766" s="43">
        <f ca="1">WORKDAY(Inputs!$B$3, ROUND(C1766, 0),Sheet2!$A$2:$A$21)</f>
        <v>46266</v>
      </c>
    </row>
    <row r="1767" spans="1:4" x14ac:dyDescent="0.25">
      <c r="A1767" s="42">
        <f t="shared" si="29"/>
        <v>1766</v>
      </c>
      <c r="B1767" s="42" cm="1">
        <f t="array" aca="1" ref="B1767" ca="1">INDEX(Historical!$A$1:$A$18, RANDBETWEEN(1, COUNTA(Historical!$A$1:$A$18)))</f>
        <v>1.3692307692307693</v>
      </c>
      <c r="C1767" s="42">
        <f ca="1">Inputs!$B$2/B1767</f>
        <v>163.59550561797752</v>
      </c>
      <c r="D1767" s="43">
        <f ca="1">WORKDAY(Inputs!$B$3, ROUND(C1767, 0),Sheet2!$A$2:$A$21)</f>
        <v>46258</v>
      </c>
    </row>
    <row r="1768" spans="1:4" x14ac:dyDescent="0.25">
      <c r="A1768" s="42">
        <f t="shared" si="29"/>
        <v>1767</v>
      </c>
      <c r="B1768" s="42" cm="1">
        <f t="array" aca="1" ref="B1768" ca="1">INDEX(Historical!$A$1:$A$18, RANDBETWEEN(1, COUNTA(Historical!$A$1:$A$18)))</f>
        <v>1.4038461538461537</v>
      </c>
      <c r="C1768" s="42">
        <f ca="1">Inputs!$B$2/B1768</f>
        <v>159.56164383561645</v>
      </c>
      <c r="D1768" s="43">
        <f ca="1">WORKDAY(Inputs!$B$3, ROUND(C1768, 0),Sheet2!$A$2:$A$21)</f>
        <v>46252</v>
      </c>
    </row>
    <row r="1769" spans="1:4" x14ac:dyDescent="0.25">
      <c r="A1769" s="42">
        <f t="shared" si="29"/>
        <v>1768</v>
      </c>
      <c r="B1769" s="42" cm="1">
        <f t="array" aca="1" ref="B1769" ca="1">INDEX(Historical!$A$1:$A$18, RANDBETWEEN(1, COUNTA(Historical!$A$1:$A$18)))</f>
        <v>1.290909090909091</v>
      </c>
      <c r="C1769" s="42">
        <f ca="1">Inputs!$B$2/B1769</f>
        <v>173.52112676056336</v>
      </c>
      <c r="D1769" s="43">
        <f ca="1">WORKDAY(Inputs!$B$3, ROUND(C1769, 0),Sheet2!$A$2:$A$21)</f>
        <v>46273</v>
      </c>
    </row>
    <row r="1770" spans="1:4" x14ac:dyDescent="0.25">
      <c r="A1770" s="42">
        <f t="shared" si="29"/>
        <v>1769</v>
      </c>
      <c r="B1770" s="42" cm="1">
        <f t="array" aca="1" ref="B1770" ca="1">INDEX(Historical!$A$1:$A$18, RANDBETWEEN(1, COUNTA(Historical!$A$1:$A$18)))</f>
        <v>1.5</v>
      </c>
      <c r="C1770" s="42">
        <f ca="1">Inputs!$B$2/B1770</f>
        <v>149.33333333333334</v>
      </c>
      <c r="D1770" s="43">
        <f ca="1">WORKDAY(Inputs!$B$3, ROUND(C1770, 0),Sheet2!$A$2:$A$21)</f>
        <v>46237</v>
      </c>
    </row>
    <row r="1771" spans="1:4" x14ac:dyDescent="0.25">
      <c r="A1771" s="42">
        <f t="shared" si="29"/>
        <v>1770</v>
      </c>
      <c r="B1771" s="42" cm="1">
        <f t="array" aca="1" ref="B1771" ca="1">INDEX(Historical!$A$1:$A$18, RANDBETWEEN(1, COUNTA(Historical!$A$1:$A$18)))</f>
        <v>1.1666666666666667</v>
      </c>
      <c r="C1771" s="42">
        <f ca="1">Inputs!$B$2/B1771</f>
        <v>192</v>
      </c>
      <c r="D1771" s="43">
        <f ca="1">WORKDAY(Inputs!$B$3, ROUND(C1771, 0),Sheet2!$A$2:$A$21)</f>
        <v>46297</v>
      </c>
    </row>
    <row r="1772" spans="1:4" x14ac:dyDescent="0.25">
      <c r="A1772" s="42">
        <f t="shared" si="29"/>
        <v>1771</v>
      </c>
      <c r="B1772" s="42" cm="1">
        <f t="array" aca="1" ref="B1772" ca="1">INDEX(Historical!$A$1:$A$18, RANDBETWEEN(1, COUNTA(Historical!$A$1:$A$18)))</f>
        <v>1.3692307692307693</v>
      </c>
      <c r="C1772" s="42">
        <f ca="1">Inputs!$B$2/B1772</f>
        <v>163.59550561797752</v>
      </c>
      <c r="D1772" s="43">
        <f ca="1">WORKDAY(Inputs!$B$3, ROUND(C1772, 0),Sheet2!$A$2:$A$21)</f>
        <v>46258</v>
      </c>
    </row>
    <row r="1773" spans="1:4" x14ac:dyDescent="0.25">
      <c r="A1773" s="42">
        <f t="shared" si="29"/>
        <v>1772</v>
      </c>
      <c r="B1773" s="42" cm="1">
        <f t="array" aca="1" ref="B1773" ca="1">INDEX(Historical!$A$1:$A$18, RANDBETWEEN(1, COUNTA(Historical!$A$1:$A$18)))</f>
        <v>1.3157894736842106</v>
      </c>
      <c r="C1773" s="42">
        <f ca="1">Inputs!$B$2/B1773</f>
        <v>170.23999999999998</v>
      </c>
      <c r="D1773" s="43">
        <f ca="1">WORKDAY(Inputs!$B$3, ROUND(C1773, 0),Sheet2!$A$2:$A$21)</f>
        <v>46266</v>
      </c>
    </row>
    <row r="1774" spans="1:4" x14ac:dyDescent="0.25">
      <c r="A1774" s="42">
        <f t="shared" si="29"/>
        <v>1773</v>
      </c>
      <c r="B1774" s="42" cm="1">
        <f t="array" aca="1" ref="B1774" ca="1">INDEX(Historical!$A$1:$A$18, RANDBETWEEN(1, COUNTA(Historical!$A$1:$A$18)))</f>
        <v>1.375</v>
      </c>
      <c r="C1774" s="42">
        <f ca="1">Inputs!$B$2/B1774</f>
        <v>162.90909090909091</v>
      </c>
      <c r="D1774" s="43">
        <f ca="1">WORKDAY(Inputs!$B$3, ROUND(C1774, 0),Sheet2!$A$2:$A$21)</f>
        <v>46255</v>
      </c>
    </row>
    <row r="1775" spans="1:4" x14ac:dyDescent="0.25">
      <c r="A1775" s="42">
        <f t="shared" si="29"/>
        <v>1774</v>
      </c>
      <c r="B1775" s="42" cm="1">
        <f t="array" aca="1" ref="B1775" ca="1">INDEX(Historical!$A$1:$A$18, RANDBETWEEN(1, COUNTA(Historical!$A$1:$A$18)))</f>
        <v>1.368421052631579</v>
      </c>
      <c r="C1775" s="42">
        <f ca="1">Inputs!$B$2/B1775</f>
        <v>163.69230769230768</v>
      </c>
      <c r="D1775" s="43">
        <f ca="1">WORKDAY(Inputs!$B$3, ROUND(C1775, 0),Sheet2!$A$2:$A$21)</f>
        <v>46258</v>
      </c>
    </row>
    <row r="1776" spans="1:4" x14ac:dyDescent="0.25">
      <c r="A1776" s="42">
        <f t="shared" si="29"/>
        <v>1775</v>
      </c>
      <c r="B1776" s="42" cm="1">
        <f t="array" aca="1" ref="B1776" ca="1">INDEX(Historical!$A$1:$A$18, RANDBETWEEN(1, COUNTA(Historical!$A$1:$A$18)))</f>
        <v>1.290909090909091</v>
      </c>
      <c r="C1776" s="42">
        <f ca="1">Inputs!$B$2/B1776</f>
        <v>173.52112676056336</v>
      </c>
      <c r="D1776" s="43">
        <f ca="1">WORKDAY(Inputs!$B$3, ROUND(C1776, 0),Sheet2!$A$2:$A$21)</f>
        <v>46273</v>
      </c>
    </row>
    <row r="1777" spans="1:4" x14ac:dyDescent="0.25">
      <c r="A1777" s="42">
        <f t="shared" si="29"/>
        <v>1776</v>
      </c>
      <c r="B1777" s="42" cm="1">
        <f t="array" aca="1" ref="B1777" ca="1">INDEX(Historical!$A$1:$A$18, RANDBETWEEN(1, COUNTA(Historical!$A$1:$A$18)))</f>
        <v>1.3157894736842106</v>
      </c>
      <c r="C1777" s="42">
        <f ca="1">Inputs!$B$2/B1777</f>
        <v>170.23999999999998</v>
      </c>
      <c r="D1777" s="43">
        <f ca="1">WORKDAY(Inputs!$B$3, ROUND(C1777, 0),Sheet2!$A$2:$A$21)</f>
        <v>46266</v>
      </c>
    </row>
    <row r="1778" spans="1:4" x14ac:dyDescent="0.25">
      <c r="A1778" s="42">
        <f t="shared" si="29"/>
        <v>1777</v>
      </c>
      <c r="B1778" s="42" cm="1">
        <f t="array" aca="1" ref="B1778" ca="1">INDEX(Historical!$A$1:$A$18, RANDBETWEEN(1, COUNTA(Historical!$A$1:$A$18)))</f>
        <v>1.4038461538461537</v>
      </c>
      <c r="C1778" s="42">
        <f ca="1">Inputs!$B$2/B1778</f>
        <v>159.56164383561645</v>
      </c>
      <c r="D1778" s="43">
        <f ca="1">WORKDAY(Inputs!$B$3, ROUND(C1778, 0),Sheet2!$A$2:$A$21)</f>
        <v>46252</v>
      </c>
    </row>
    <row r="1779" spans="1:4" x14ac:dyDescent="0.25">
      <c r="A1779" s="42">
        <f t="shared" si="29"/>
        <v>1778</v>
      </c>
      <c r="B1779" s="42" cm="1">
        <f t="array" aca="1" ref="B1779" ca="1">INDEX(Historical!$A$1:$A$18, RANDBETWEEN(1, COUNTA(Historical!$A$1:$A$18)))</f>
        <v>1.3559322033898304</v>
      </c>
      <c r="C1779" s="42">
        <f ca="1">Inputs!$B$2/B1779</f>
        <v>165.20000000000002</v>
      </c>
      <c r="D1779" s="43">
        <f ca="1">WORKDAY(Inputs!$B$3, ROUND(C1779, 0),Sheet2!$A$2:$A$21)</f>
        <v>46259</v>
      </c>
    </row>
    <row r="1780" spans="1:4" x14ac:dyDescent="0.25">
      <c r="A1780" s="42">
        <f t="shared" si="29"/>
        <v>1779</v>
      </c>
      <c r="B1780" s="42" cm="1">
        <f t="array" aca="1" ref="B1780" ca="1">INDEX(Historical!$A$1:$A$18, RANDBETWEEN(1, COUNTA(Historical!$A$1:$A$18)))</f>
        <v>1.4347826086956521</v>
      </c>
      <c r="C1780" s="42">
        <f ca="1">Inputs!$B$2/B1780</f>
        <v>156.12121212121212</v>
      </c>
      <c r="D1780" s="43">
        <f ca="1">WORKDAY(Inputs!$B$3, ROUND(C1780, 0),Sheet2!$A$2:$A$21)</f>
        <v>46246</v>
      </c>
    </row>
    <row r="1781" spans="1:4" x14ac:dyDescent="0.25">
      <c r="A1781" s="42">
        <f t="shared" si="29"/>
        <v>1780</v>
      </c>
      <c r="B1781" s="42" cm="1">
        <f t="array" aca="1" ref="B1781" ca="1">INDEX(Historical!$A$1:$A$18, RANDBETWEEN(1, COUNTA(Historical!$A$1:$A$18)))</f>
        <v>1.3707865168539326</v>
      </c>
      <c r="C1781" s="42">
        <f ca="1">Inputs!$B$2/B1781</f>
        <v>163.40983606557376</v>
      </c>
      <c r="D1781" s="43">
        <f ca="1">WORKDAY(Inputs!$B$3, ROUND(C1781, 0),Sheet2!$A$2:$A$21)</f>
        <v>46255</v>
      </c>
    </row>
    <row r="1782" spans="1:4" x14ac:dyDescent="0.25">
      <c r="A1782" s="42">
        <f t="shared" si="29"/>
        <v>1781</v>
      </c>
      <c r="B1782" s="42" cm="1">
        <f t="array" aca="1" ref="B1782" ca="1">INDEX(Historical!$A$1:$A$18, RANDBETWEEN(1, COUNTA(Historical!$A$1:$A$18)))</f>
        <v>1.3214285714285714</v>
      </c>
      <c r="C1782" s="42">
        <f ca="1">Inputs!$B$2/B1782</f>
        <v>169.51351351351352</v>
      </c>
      <c r="D1782" s="43">
        <f ca="1">WORKDAY(Inputs!$B$3, ROUND(C1782, 0),Sheet2!$A$2:$A$21)</f>
        <v>46266</v>
      </c>
    </row>
    <row r="1783" spans="1:4" x14ac:dyDescent="0.25">
      <c r="A1783" s="42">
        <f t="shared" si="29"/>
        <v>1782</v>
      </c>
      <c r="B1783" s="42" cm="1">
        <f t="array" aca="1" ref="B1783" ca="1">INDEX(Historical!$A$1:$A$18, RANDBETWEEN(1, COUNTA(Historical!$A$1:$A$18)))</f>
        <v>1.368421052631579</v>
      </c>
      <c r="C1783" s="42">
        <f ca="1">Inputs!$B$2/B1783</f>
        <v>163.69230769230768</v>
      </c>
      <c r="D1783" s="43">
        <f ca="1">WORKDAY(Inputs!$B$3, ROUND(C1783, 0),Sheet2!$A$2:$A$21)</f>
        <v>46258</v>
      </c>
    </row>
    <row r="1784" spans="1:4" x14ac:dyDescent="0.25">
      <c r="A1784" s="42">
        <f t="shared" si="29"/>
        <v>1783</v>
      </c>
      <c r="B1784" s="42" cm="1">
        <f t="array" aca="1" ref="B1784" ca="1">INDEX(Historical!$A$1:$A$18, RANDBETWEEN(1, COUNTA(Historical!$A$1:$A$18)))</f>
        <v>1.3214285714285714</v>
      </c>
      <c r="C1784" s="42">
        <f ca="1">Inputs!$B$2/B1784</f>
        <v>169.51351351351352</v>
      </c>
      <c r="D1784" s="43">
        <f ca="1">WORKDAY(Inputs!$B$3, ROUND(C1784, 0),Sheet2!$A$2:$A$21)</f>
        <v>46266</v>
      </c>
    </row>
    <row r="1785" spans="1:4" x14ac:dyDescent="0.25">
      <c r="A1785" s="42">
        <f t="shared" si="29"/>
        <v>1784</v>
      </c>
      <c r="B1785" s="42" cm="1">
        <f t="array" aca="1" ref="B1785" ca="1">INDEX(Historical!$A$1:$A$18, RANDBETWEEN(1, COUNTA(Historical!$A$1:$A$18)))</f>
        <v>1.4137931034482758</v>
      </c>
      <c r="C1785" s="42">
        <f ca="1">Inputs!$B$2/B1785</f>
        <v>158.4390243902439</v>
      </c>
      <c r="D1785" s="43">
        <f ca="1">WORKDAY(Inputs!$B$3, ROUND(C1785, 0),Sheet2!$A$2:$A$21)</f>
        <v>46248</v>
      </c>
    </row>
    <row r="1786" spans="1:4" x14ac:dyDescent="0.25">
      <c r="A1786" s="42">
        <f t="shared" si="29"/>
        <v>1785</v>
      </c>
      <c r="B1786" s="42" cm="1">
        <f t="array" aca="1" ref="B1786" ca="1">INDEX(Historical!$A$1:$A$18, RANDBETWEEN(1, COUNTA(Historical!$A$1:$A$18)))</f>
        <v>1.4347826086956521</v>
      </c>
      <c r="C1786" s="42">
        <f ca="1">Inputs!$B$2/B1786</f>
        <v>156.12121212121212</v>
      </c>
      <c r="D1786" s="43">
        <f ca="1">WORKDAY(Inputs!$B$3, ROUND(C1786, 0),Sheet2!$A$2:$A$21)</f>
        <v>46246</v>
      </c>
    </row>
    <row r="1787" spans="1:4" x14ac:dyDescent="0.25">
      <c r="A1787" s="42">
        <f t="shared" si="29"/>
        <v>1786</v>
      </c>
      <c r="B1787" s="42" cm="1">
        <f t="array" aca="1" ref="B1787" ca="1">INDEX(Historical!$A$1:$A$18, RANDBETWEEN(1, COUNTA(Historical!$A$1:$A$18)))</f>
        <v>1.3214285714285714</v>
      </c>
      <c r="C1787" s="42">
        <f ca="1">Inputs!$B$2/B1787</f>
        <v>169.51351351351352</v>
      </c>
      <c r="D1787" s="43">
        <f ca="1">WORKDAY(Inputs!$B$3, ROUND(C1787, 0),Sheet2!$A$2:$A$21)</f>
        <v>46266</v>
      </c>
    </row>
    <row r="1788" spans="1:4" x14ac:dyDescent="0.25">
      <c r="A1788" s="42">
        <f t="shared" si="29"/>
        <v>1787</v>
      </c>
      <c r="B1788" s="42" cm="1">
        <f t="array" aca="1" ref="B1788" ca="1">INDEX(Historical!$A$1:$A$18, RANDBETWEEN(1, COUNTA(Historical!$A$1:$A$18)))</f>
        <v>1.303030303030303</v>
      </c>
      <c r="C1788" s="42">
        <f ca="1">Inputs!$B$2/B1788</f>
        <v>171.90697674418604</v>
      </c>
      <c r="D1788" s="43">
        <f ca="1">WORKDAY(Inputs!$B$3, ROUND(C1788, 0),Sheet2!$A$2:$A$21)</f>
        <v>46268</v>
      </c>
    </row>
    <row r="1789" spans="1:4" x14ac:dyDescent="0.25">
      <c r="A1789" s="42">
        <f t="shared" si="29"/>
        <v>1788</v>
      </c>
      <c r="B1789" s="42" cm="1">
        <f t="array" aca="1" ref="B1789" ca="1">INDEX(Historical!$A$1:$A$18, RANDBETWEEN(1, COUNTA(Historical!$A$1:$A$18)))</f>
        <v>1.3214285714285714</v>
      </c>
      <c r="C1789" s="42">
        <f ca="1">Inputs!$B$2/B1789</f>
        <v>169.51351351351352</v>
      </c>
      <c r="D1789" s="43">
        <f ca="1">WORKDAY(Inputs!$B$3, ROUND(C1789, 0),Sheet2!$A$2:$A$21)</f>
        <v>46266</v>
      </c>
    </row>
    <row r="1790" spans="1:4" x14ac:dyDescent="0.25">
      <c r="A1790" s="42">
        <f t="shared" si="29"/>
        <v>1789</v>
      </c>
      <c r="B1790" s="42" cm="1">
        <f t="array" aca="1" ref="B1790" ca="1">INDEX(Historical!$A$1:$A$18, RANDBETWEEN(1, COUNTA(Historical!$A$1:$A$18)))</f>
        <v>1.303030303030303</v>
      </c>
      <c r="C1790" s="42">
        <f ca="1">Inputs!$B$2/B1790</f>
        <v>171.90697674418604</v>
      </c>
      <c r="D1790" s="43">
        <f ca="1">WORKDAY(Inputs!$B$3, ROUND(C1790, 0),Sheet2!$A$2:$A$21)</f>
        <v>46268</v>
      </c>
    </row>
    <row r="1791" spans="1:4" x14ac:dyDescent="0.25">
      <c r="A1791" s="42">
        <f t="shared" si="29"/>
        <v>1790</v>
      </c>
      <c r="B1791" s="42" cm="1">
        <f t="array" aca="1" ref="B1791" ca="1">INDEX(Historical!$A$1:$A$18, RANDBETWEEN(1, COUNTA(Historical!$A$1:$A$18)))</f>
        <v>1.290909090909091</v>
      </c>
      <c r="C1791" s="42">
        <f ca="1">Inputs!$B$2/B1791</f>
        <v>173.52112676056336</v>
      </c>
      <c r="D1791" s="43">
        <f ca="1">WORKDAY(Inputs!$B$3, ROUND(C1791, 0),Sheet2!$A$2:$A$21)</f>
        <v>46273</v>
      </c>
    </row>
    <row r="1792" spans="1:4" x14ac:dyDescent="0.25">
      <c r="A1792" s="42">
        <f t="shared" si="29"/>
        <v>1791</v>
      </c>
      <c r="B1792" s="42" cm="1">
        <f t="array" aca="1" ref="B1792" ca="1">INDEX(Historical!$A$1:$A$18, RANDBETWEEN(1, COUNTA(Historical!$A$1:$A$18)))</f>
        <v>1.3214285714285714</v>
      </c>
      <c r="C1792" s="42">
        <f ca="1">Inputs!$B$2/B1792</f>
        <v>169.51351351351352</v>
      </c>
      <c r="D1792" s="43">
        <f ca="1">WORKDAY(Inputs!$B$3, ROUND(C1792, 0),Sheet2!$A$2:$A$21)</f>
        <v>46266</v>
      </c>
    </row>
    <row r="1793" spans="1:4" x14ac:dyDescent="0.25">
      <c r="A1793" s="42">
        <f t="shared" si="29"/>
        <v>1792</v>
      </c>
      <c r="B1793" s="42" cm="1">
        <f t="array" aca="1" ref="B1793" ca="1">INDEX(Historical!$A$1:$A$18, RANDBETWEEN(1, COUNTA(Historical!$A$1:$A$18)))</f>
        <v>1.3559322033898304</v>
      </c>
      <c r="C1793" s="42">
        <f ca="1">Inputs!$B$2/B1793</f>
        <v>165.20000000000002</v>
      </c>
      <c r="D1793" s="43">
        <f ca="1">WORKDAY(Inputs!$B$3, ROUND(C1793, 0),Sheet2!$A$2:$A$21)</f>
        <v>46259</v>
      </c>
    </row>
    <row r="1794" spans="1:4" x14ac:dyDescent="0.25">
      <c r="A1794" s="42">
        <f t="shared" si="29"/>
        <v>1793</v>
      </c>
      <c r="B1794" s="42" cm="1">
        <f t="array" aca="1" ref="B1794" ca="1">INDEX(Historical!$A$1:$A$18, RANDBETWEEN(1, COUNTA(Historical!$A$1:$A$18)))</f>
        <v>1.1666666666666667</v>
      </c>
      <c r="C1794" s="42">
        <f ca="1">Inputs!$B$2/B1794</f>
        <v>192</v>
      </c>
      <c r="D1794" s="43">
        <f ca="1">WORKDAY(Inputs!$B$3, ROUND(C1794, 0),Sheet2!$A$2:$A$21)</f>
        <v>46297</v>
      </c>
    </row>
    <row r="1795" spans="1:4" x14ac:dyDescent="0.25">
      <c r="A1795" s="42">
        <f t="shared" ref="A1795:A1858" si="30">ROW()-1</f>
        <v>1794</v>
      </c>
      <c r="B1795" s="42" cm="1">
        <f t="array" aca="1" ref="B1795" ca="1">INDEX(Historical!$A$1:$A$18, RANDBETWEEN(1, COUNTA(Historical!$A$1:$A$18)))</f>
        <v>1.3214285714285714</v>
      </c>
      <c r="C1795" s="42">
        <f ca="1">Inputs!$B$2/B1795</f>
        <v>169.51351351351352</v>
      </c>
      <c r="D1795" s="43">
        <f ca="1">WORKDAY(Inputs!$B$3, ROUND(C1795, 0),Sheet2!$A$2:$A$21)</f>
        <v>46266</v>
      </c>
    </row>
    <row r="1796" spans="1:4" x14ac:dyDescent="0.25">
      <c r="A1796" s="42">
        <f t="shared" si="30"/>
        <v>1795</v>
      </c>
      <c r="B1796" s="42" cm="1">
        <f t="array" aca="1" ref="B1796" ca="1">INDEX(Historical!$A$1:$A$18, RANDBETWEEN(1, COUNTA(Historical!$A$1:$A$18)))</f>
        <v>1.375</v>
      </c>
      <c r="C1796" s="42">
        <f ca="1">Inputs!$B$2/B1796</f>
        <v>162.90909090909091</v>
      </c>
      <c r="D1796" s="43">
        <f ca="1">WORKDAY(Inputs!$B$3, ROUND(C1796, 0),Sheet2!$A$2:$A$21)</f>
        <v>46255</v>
      </c>
    </row>
    <row r="1797" spans="1:4" x14ac:dyDescent="0.25">
      <c r="A1797" s="42">
        <f t="shared" si="30"/>
        <v>1796</v>
      </c>
      <c r="B1797" s="42" cm="1">
        <f t="array" aca="1" ref="B1797" ca="1">INDEX(Historical!$A$1:$A$18, RANDBETWEEN(1, COUNTA(Historical!$A$1:$A$18)))</f>
        <v>1.5</v>
      </c>
      <c r="C1797" s="42">
        <f ca="1">Inputs!$B$2/B1797</f>
        <v>149.33333333333334</v>
      </c>
      <c r="D1797" s="43">
        <f ca="1">WORKDAY(Inputs!$B$3, ROUND(C1797, 0),Sheet2!$A$2:$A$21)</f>
        <v>46237</v>
      </c>
    </row>
    <row r="1798" spans="1:4" x14ac:dyDescent="0.25">
      <c r="A1798" s="42">
        <f t="shared" si="30"/>
        <v>1797</v>
      </c>
      <c r="B1798" s="42" cm="1">
        <f t="array" aca="1" ref="B1798" ca="1">INDEX(Historical!$A$1:$A$18, RANDBETWEEN(1, COUNTA(Historical!$A$1:$A$18)))</f>
        <v>1.2941176470588236</v>
      </c>
      <c r="C1798" s="42">
        <f ca="1">Inputs!$B$2/B1798</f>
        <v>173.09090909090909</v>
      </c>
      <c r="D1798" s="43">
        <f ca="1">WORKDAY(Inputs!$B$3, ROUND(C1798, 0),Sheet2!$A$2:$A$21)</f>
        <v>46269</v>
      </c>
    </row>
    <row r="1799" spans="1:4" x14ac:dyDescent="0.25">
      <c r="A1799" s="42">
        <f t="shared" si="30"/>
        <v>1798</v>
      </c>
      <c r="B1799" s="42" cm="1">
        <f t="array" aca="1" ref="B1799" ca="1">INDEX(Historical!$A$1:$A$18, RANDBETWEEN(1, COUNTA(Historical!$A$1:$A$18)))</f>
        <v>1.3157894736842106</v>
      </c>
      <c r="C1799" s="42">
        <f ca="1">Inputs!$B$2/B1799</f>
        <v>170.23999999999998</v>
      </c>
      <c r="D1799" s="43">
        <f ca="1">WORKDAY(Inputs!$B$3, ROUND(C1799, 0),Sheet2!$A$2:$A$21)</f>
        <v>46266</v>
      </c>
    </row>
    <row r="1800" spans="1:4" x14ac:dyDescent="0.25">
      <c r="A1800" s="42">
        <f t="shared" si="30"/>
        <v>1799</v>
      </c>
      <c r="B1800" s="42" cm="1">
        <f t="array" aca="1" ref="B1800" ca="1">INDEX(Historical!$A$1:$A$18, RANDBETWEEN(1, COUNTA(Historical!$A$1:$A$18)))</f>
        <v>1.4038461538461537</v>
      </c>
      <c r="C1800" s="42">
        <f ca="1">Inputs!$B$2/B1800</f>
        <v>159.56164383561645</v>
      </c>
      <c r="D1800" s="43">
        <f ca="1">WORKDAY(Inputs!$B$3, ROUND(C1800, 0),Sheet2!$A$2:$A$21)</f>
        <v>46252</v>
      </c>
    </row>
    <row r="1801" spans="1:4" x14ac:dyDescent="0.25">
      <c r="A1801" s="42">
        <f t="shared" si="30"/>
        <v>1800</v>
      </c>
      <c r="B1801" s="42" cm="1">
        <f t="array" aca="1" ref="B1801" ca="1">INDEX(Historical!$A$1:$A$18, RANDBETWEEN(1, COUNTA(Historical!$A$1:$A$18)))</f>
        <v>1.368421052631579</v>
      </c>
      <c r="C1801" s="42">
        <f ca="1">Inputs!$B$2/B1801</f>
        <v>163.69230769230768</v>
      </c>
      <c r="D1801" s="43">
        <f ca="1">WORKDAY(Inputs!$B$3, ROUND(C1801, 0),Sheet2!$A$2:$A$21)</f>
        <v>46258</v>
      </c>
    </row>
    <row r="1802" spans="1:4" x14ac:dyDescent="0.25">
      <c r="A1802" s="42">
        <f t="shared" si="30"/>
        <v>1801</v>
      </c>
      <c r="B1802" s="42" cm="1">
        <f t="array" aca="1" ref="B1802" ca="1">INDEX(Historical!$A$1:$A$18, RANDBETWEEN(1, COUNTA(Historical!$A$1:$A$18)))</f>
        <v>1.3611111111111112</v>
      </c>
      <c r="C1802" s="42">
        <f ca="1">Inputs!$B$2/B1802</f>
        <v>164.57142857142856</v>
      </c>
      <c r="D1802" s="43">
        <f ca="1">WORKDAY(Inputs!$B$3, ROUND(C1802, 0),Sheet2!$A$2:$A$21)</f>
        <v>46259</v>
      </c>
    </row>
    <row r="1803" spans="1:4" x14ac:dyDescent="0.25">
      <c r="A1803" s="42">
        <f t="shared" si="30"/>
        <v>1802</v>
      </c>
      <c r="B1803" s="42" cm="1">
        <f t="array" aca="1" ref="B1803" ca="1">INDEX(Historical!$A$1:$A$18, RANDBETWEEN(1, COUNTA(Historical!$A$1:$A$18)))</f>
        <v>1.3611111111111112</v>
      </c>
      <c r="C1803" s="42">
        <f ca="1">Inputs!$B$2/B1803</f>
        <v>164.57142857142856</v>
      </c>
      <c r="D1803" s="43">
        <f ca="1">WORKDAY(Inputs!$B$3, ROUND(C1803, 0),Sheet2!$A$2:$A$21)</f>
        <v>46259</v>
      </c>
    </row>
    <row r="1804" spans="1:4" x14ac:dyDescent="0.25">
      <c r="A1804" s="42">
        <f t="shared" si="30"/>
        <v>1803</v>
      </c>
      <c r="B1804" s="42" cm="1">
        <f t="array" aca="1" ref="B1804" ca="1">INDEX(Historical!$A$1:$A$18, RANDBETWEEN(1, COUNTA(Historical!$A$1:$A$18)))</f>
        <v>1.3611111111111112</v>
      </c>
      <c r="C1804" s="42">
        <f ca="1">Inputs!$B$2/B1804</f>
        <v>164.57142857142856</v>
      </c>
      <c r="D1804" s="43">
        <f ca="1">WORKDAY(Inputs!$B$3, ROUND(C1804, 0),Sheet2!$A$2:$A$21)</f>
        <v>46259</v>
      </c>
    </row>
    <row r="1805" spans="1:4" x14ac:dyDescent="0.25">
      <c r="A1805" s="42">
        <f t="shared" si="30"/>
        <v>1804</v>
      </c>
      <c r="B1805" s="42" cm="1">
        <f t="array" aca="1" ref="B1805" ca="1">INDEX(Historical!$A$1:$A$18, RANDBETWEEN(1, COUNTA(Historical!$A$1:$A$18)))</f>
        <v>1.4137931034482758</v>
      </c>
      <c r="C1805" s="42">
        <f ca="1">Inputs!$B$2/B1805</f>
        <v>158.4390243902439</v>
      </c>
      <c r="D1805" s="43">
        <f ca="1">WORKDAY(Inputs!$B$3, ROUND(C1805, 0),Sheet2!$A$2:$A$21)</f>
        <v>46248</v>
      </c>
    </row>
    <row r="1806" spans="1:4" x14ac:dyDescent="0.25">
      <c r="A1806" s="42">
        <f t="shared" si="30"/>
        <v>1805</v>
      </c>
      <c r="B1806" s="42" cm="1">
        <f t="array" aca="1" ref="B1806" ca="1">INDEX(Historical!$A$1:$A$18, RANDBETWEEN(1, COUNTA(Historical!$A$1:$A$18)))</f>
        <v>1.290909090909091</v>
      </c>
      <c r="C1806" s="42">
        <f ca="1">Inputs!$B$2/B1806</f>
        <v>173.52112676056336</v>
      </c>
      <c r="D1806" s="43">
        <f ca="1">WORKDAY(Inputs!$B$3, ROUND(C1806, 0),Sheet2!$A$2:$A$21)</f>
        <v>46273</v>
      </c>
    </row>
    <row r="1807" spans="1:4" x14ac:dyDescent="0.25">
      <c r="A1807" s="42">
        <f t="shared" si="30"/>
        <v>1806</v>
      </c>
      <c r="B1807" s="42" cm="1">
        <f t="array" aca="1" ref="B1807" ca="1">INDEX(Historical!$A$1:$A$18, RANDBETWEEN(1, COUNTA(Historical!$A$1:$A$18)))</f>
        <v>1.5</v>
      </c>
      <c r="C1807" s="42">
        <f ca="1">Inputs!$B$2/B1807</f>
        <v>149.33333333333334</v>
      </c>
      <c r="D1807" s="43">
        <f ca="1">WORKDAY(Inputs!$B$3, ROUND(C1807, 0),Sheet2!$A$2:$A$21)</f>
        <v>46237</v>
      </c>
    </row>
    <row r="1808" spans="1:4" x14ac:dyDescent="0.25">
      <c r="A1808" s="42">
        <f t="shared" si="30"/>
        <v>1807</v>
      </c>
      <c r="B1808" s="42" cm="1">
        <f t="array" aca="1" ref="B1808" ca="1">INDEX(Historical!$A$1:$A$18, RANDBETWEEN(1, COUNTA(Historical!$A$1:$A$18)))</f>
        <v>1.3559322033898304</v>
      </c>
      <c r="C1808" s="42">
        <f ca="1">Inputs!$B$2/B1808</f>
        <v>165.20000000000002</v>
      </c>
      <c r="D1808" s="43">
        <f ca="1">WORKDAY(Inputs!$B$3, ROUND(C1808, 0),Sheet2!$A$2:$A$21)</f>
        <v>46259</v>
      </c>
    </row>
    <row r="1809" spans="1:4" x14ac:dyDescent="0.25">
      <c r="A1809" s="42">
        <f t="shared" si="30"/>
        <v>1808</v>
      </c>
      <c r="B1809" s="42" cm="1">
        <f t="array" aca="1" ref="B1809" ca="1">INDEX(Historical!$A$1:$A$18, RANDBETWEEN(1, COUNTA(Historical!$A$1:$A$18)))</f>
        <v>1.4038461538461537</v>
      </c>
      <c r="C1809" s="42">
        <f ca="1">Inputs!$B$2/B1809</f>
        <v>159.56164383561645</v>
      </c>
      <c r="D1809" s="43">
        <f ca="1">WORKDAY(Inputs!$B$3, ROUND(C1809, 0),Sheet2!$A$2:$A$21)</f>
        <v>46252</v>
      </c>
    </row>
    <row r="1810" spans="1:4" x14ac:dyDescent="0.25">
      <c r="A1810" s="42">
        <f t="shared" si="30"/>
        <v>1809</v>
      </c>
      <c r="B1810" s="42" cm="1">
        <f t="array" aca="1" ref="B1810" ca="1">INDEX(Historical!$A$1:$A$18, RANDBETWEEN(1, COUNTA(Historical!$A$1:$A$18)))</f>
        <v>1.2941176470588236</v>
      </c>
      <c r="C1810" s="42">
        <f ca="1">Inputs!$B$2/B1810</f>
        <v>173.09090909090909</v>
      </c>
      <c r="D1810" s="43">
        <f ca="1">WORKDAY(Inputs!$B$3, ROUND(C1810, 0),Sheet2!$A$2:$A$21)</f>
        <v>46269</v>
      </c>
    </row>
    <row r="1811" spans="1:4" x14ac:dyDescent="0.25">
      <c r="A1811" s="42">
        <f t="shared" si="30"/>
        <v>1810</v>
      </c>
      <c r="B1811" s="42" cm="1">
        <f t="array" aca="1" ref="B1811" ca="1">INDEX(Historical!$A$1:$A$18, RANDBETWEEN(1, COUNTA(Historical!$A$1:$A$18)))</f>
        <v>1.3214285714285714</v>
      </c>
      <c r="C1811" s="42">
        <f ca="1">Inputs!$B$2/B1811</f>
        <v>169.51351351351352</v>
      </c>
      <c r="D1811" s="43">
        <f ca="1">WORKDAY(Inputs!$B$3, ROUND(C1811, 0),Sheet2!$A$2:$A$21)</f>
        <v>46266</v>
      </c>
    </row>
    <row r="1812" spans="1:4" x14ac:dyDescent="0.25">
      <c r="A1812" s="42">
        <f t="shared" si="30"/>
        <v>1811</v>
      </c>
      <c r="B1812" s="42" cm="1">
        <f t="array" aca="1" ref="B1812" ca="1">INDEX(Historical!$A$1:$A$18, RANDBETWEEN(1, COUNTA(Historical!$A$1:$A$18)))</f>
        <v>1.3611111111111112</v>
      </c>
      <c r="C1812" s="42">
        <f ca="1">Inputs!$B$2/B1812</f>
        <v>164.57142857142856</v>
      </c>
      <c r="D1812" s="43">
        <f ca="1">WORKDAY(Inputs!$B$3, ROUND(C1812, 0),Sheet2!$A$2:$A$21)</f>
        <v>46259</v>
      </c>
    </row>
    <row r="1813" spans="1:4" x14ac:dyDescent="0.25">
      <c r="A1813" s="42">
        <f t="shared" si="30"/>
        <v>1812</v>
      </c>
      <c r="B1813" s="42" cm="1">
        <f t="array" aca="1" ref="B1813" ca="1">INDEX(Historical!$A$1:$A$18, RANDBETWEEN(1, COUNTA(Historical!$A$1:$A$18)))</f>
        <v>1.375</v>
      </c>
      <c r="C1813" s="42">
        <f ca="1">Inputs!$B$2/B1813</f>
        <v>162.90909090909091</v>
      </c>
      <c r="D1813" s="43">
        <f ca="1">WORKDAY(Inputs!$B$3, ROUND(C1813, 0),Sheet2!$A$2:$A$21)</f>
        <v>46255</v>
      </c>
    </row>
    <row r="1814" spans="1:4" x14ac:dyDescent="0.25">
      <c r="A1814" s="42">
        <f t="shared" si="30"/>
        <v>1813</v>
      </c>
      <c r="B1814" s="42" cm="1">
        <f t="array" aca="1" ref="B1814" ca="1">INDEX(Historical!$A$1:$A$18, RANDBETWEEN(1, COUNTA(Historical!$A$1:$A$18)))</f>
        <v>1.5</v>
      </c>
      <c r="C1814" s="42">
        <f ca="1">Inputs!$B$2/B1814</f>
        <v>149.33333333333334</v>
      </c>
      <c r="D1814" s="43">
        <f ca="1">WORKDAY(Inputs!$B$3, ROUND(C1814, 0),Sheet2!$A$2:$A$21)</f>
        <v>46237</v>
      </c>
    </row>
    <row r="1815" spans="1:4" x14ac:dyDescent="0.25">
      <c r="A1815" s="42">
        <f t="shared" si="30"/>
        <v>1814</v>
      </c>
      <c r="B1815" s="42" cm="1">
        <f t="array" aca="1" ref="B1815" ca="1">INDEX(Historical!$A$1:$A$18, RANDBETWEEN(1, COUNTA(Historical!$A$1:$A$18)))</f>
        <v>1.4347826086956521</v>
      </c>
      <c r="C1815" s="42">
        <f ca="1">Inputs!$B$2/B1815</f>
        <v>156.12121212121212</v>
      </c>
      <c r="D1815" s="43">
        <f ca="1">WORKDAY(Inputs!$B$3, ROUND(C1815, 0),Sheet2!$A$2:$A$21)</f>
        <v>46246</v>
      </c>
    </row>
    <row r="1816" spans="1:4" x14ac:dyDescent="0.25">
      <c r="A1816" s="42">
        <f t="shared" si="30"/>
        <v>1815</v>
      </c>
      <c r="B1816" s="42" cm="1">
        <f t="array" aca="1" ref="B1816" ca="1">INDEX(Historical!$A$1:$A$18, RANDBETWEEN(1, COUNTA(Historical!$A$1:$A$18)))</f>
        <v>1.3157894736842106</v>
      </c>
      <c r="C1816" s="42">
        <f ca="1">Inputs!$B$2/B1816</f>
        <v>170.23999999999998</v>
      </c>
      <c r="D1816" s="43">
        <f ca="1">WORKDAY(Inputs!$B$3, ROUND(C1816, 0),Sheet2!$A$2:$A$21)</f>
        <v>46266</v>
      </c>
    </row>
    <row r="1817" spans="1:4" x14ac:dyDescent="0.25">
      <c r="A1817" s="42">
        <f t="shared" si="30"/>
        <v>1816</v>
      </c>
      <c r="B1817" s="42" cm="1">
        <f t="array" aca="1" ref="B1817" ca="1">INDEX(Historical!$A$1:$A$18, RANDBETWEEN(1, COUNTA(Historical!$A$1:$A$18)))</f>
        <v>1.368421052631579</v>
      </c>
      <c r="C1817" s="42">
        <f ca="1">Inputs!$B$2/B1817</f>
        <v>163.69230769230768</v>
      </c>
      <c r="D1817" s="43">
        <f ca="1">WORKDAY(Inputs!$B$3, ROUND(C1817, 0),Sheet2!$A$2:$A$21)</f>
        <v>46258</v>
      </c>
    </row>
    <row r="1818" spans="1:4" x14ac:dyDescent="0.25">
      <c r="A1818" s="42">
        <f t="shared" si="30"/>
        <v>1817</v>
      </c>
      <c r="B1818" s="42" cm="1">
        <f t="array" aca="1" ref="B1818" ca="1">INDEX(Historical!$A$1:$A$18, RANDBETWEEN(1, COUNTA(Historical!$A$1:$A$18)))</f>
        <v>1.3559322033898304</v>
      </c>
      <c r="C1818" s="42">
        <f ca="1">Inputs!$B$2/B1818</f>
        <v>165.20000000000002</v>
      </c>
      <c r="D1818" s="43">
        <f ca="1">WORKDAY(Inputs!$B$3, ROUND(C1818, 0),Sheet2!$A$2:$A$21)</f>
        <v>46259</v>
      </c>
    </row>
    <row r="1819" spans="1:4" x14ac:dyDescent="0.25">
      <c r="A1819" s="42">
        <f t="shared" si="30"/>
        <v>1818</v>
      </c>
      <c r="B1819" s="42" cm="1">
        <f t="array" aca="1" ref="B1819" ca="1">INDEX(Historical!$A$1:$A$18, RANDBETWEEN(1, COUNTA(Historical!$A$1:$A$18)))</f>
        <v>1.375</v>
      </c>
      <c r="C1819" s="42">
        <f ca="1">Inputs!$B$2/B1819</f>
        <v>162.90909090909091</v>
      </c>
      <c r="D1819" s="43">
        <f ca="1">WORKDAY(Inputs!$B$3, ROUND(C1819, 0),Sheet2!$A$2:$A$21)</f>
        <v>46255</v>
      </c>
    </row>
    <row r="1820" spans="1:4" x14ac:dyDescent="0.25">
      <c r="A1820" s="42">
        <f t="shared" si="30"/>
        <v>1819</v>
      </c>
      <c r="B1820" s="42" cm="1">
        <f t="array" aca="1" ref="B1820" ca="1">INDEX(Historical!$A$1:$A$18, RANDBETWEEN(1, COUNTA(Historical!$A$1:$A$18)))</f>
        <v>1.4137931034482758</v>
      </c>
      <c r="C1820" s="42">
        <f ca="1">Inputs!$B$2/B1820</f>
        <v>158.4390243902439</v>
      </c>
      <c r="D1820" s="43">
        <f ca="1">WORKDAY(Inputs!$B$3, ROUND(C1820, 0),Sheet2!$A$2:$A$21)</f>
        <v>46248</v>
      </c>
    </row>
    <row r="1821" spans="1:4" x14ac:dyDescent="0.25">
      <c r="A1821" s="42">
        <f t="shared" si="30"/>
        <v>1820</v>
      </c>
      <c r="B1821" s="42" cm="1">
        <f t="array" aca="1" ref="B1821" ca="1">INDEX(Historical!$A$1:$A$18, RANDBETWEEN(1, COUNTA(Historical!$A$1:$A$18)))</f>
        <v>1.3214285714285714</v>
      </c>
      <c r="C1821" s="42">
        <f ca="1">Inputs!$B$2/B1821</f>
        <v>169.51351351351352</v>
      </c>
      <c r="D1821" s="43">
        <f ca="1">WORKDAY(Inputs!$B$3, ROUND(C1821, 0),Sheet2!$A$2:$A$21)</f>
        <v>46266</v>
      </c>
    </row>
    <row r="1822" spans="1:4" x14ac:dyDescent="0.25">
      <c r="A1822" s="42">
        <f t="shared" si="30"/>
        <v>1821</v>
      </c>
      <c r="B1822" s="42" cm="1">
        <f t="array" aca="1" ref="B1822" ca="1">INDEX(Historical!$A$1:$A$18, RANDBETWEEN(1, COUNTA(Historical!$A$1:$A$18)))</f>
        <v>1.3611111111111112</v>
      </c>
      <c r="C1822" s="42">
        <f ca="1">Inputs!$B$2/B1822</f>
        <v>164.57142857142856</v>
      </c>
      <c r="D1822" s="43">
        <f ca="1">WORKDAY(Inputs!$B$3, ROUND(C1822, 0),Sheet2!$A$2:$A$21)</f>
        <v>46259</v>
      </c>
    </row>
    <row r="1823" spans="1:4" x14ac:dyDescent="0.25">
      <c r="A1823" s="42">
        <f t="shared" si="30"/>
        <v>1822</v>
      </c>
      <c r="B1823" s="42" cm="1">
        <f t="array" aca="1" ref="B1823" ca="1">INDEX(Historical!$A$1:$A$18, RANDBETWEEN(1, COUNTA(Historical!$A$1:$A$18)))</f>
        <v>1.4761904761904763</v>
      </c>
      <c r="C1823" s="42">
        <f ca="1">Inputs!$B$2/B1823</f>
        <v>151.74193548387095</v>
      </c>
      <c r="D1823" s="43">
        <f ca="1">WORKDAY(Inputs!$B$3, ROUND(C1823, 0),Sheet2!$A$2:$A$21)</f>
        <v>46240</v>
      </c>
    </row>
    <row r="1824" spans="1:4" x14ac:dyDescent="0.25">
      <c r="A1824" s="42">
        <f t="shared" si="30"/>
        <v>1823</v>
      </c>
      <c r="B1824" s="42" cm="1">
        <f t="array" aca="1" ref="B1824" ca="1">INDEX(Historical!$A$1:$A$18, RANDBETWEEN(1, COUNTA(Historical!$A$1:$A$18)))</f>
        <v>1.3559322033898304</v>
      </c>
      <c r="C1824" s="42">
        <f ca="1">Inputs!$B$2/B1824</f>
        <v>165.20000000000002</v>
      </c>
      <c r="D1824" s="43">
        <f ca="1">WORKDAY(Inputs!$B$3, ROUND(C1824, 0),Sheet2!$A$2:$A$21)</f>
        <v>46259</v>
      </c>
    </row>
    <row r="1825" spans="1:4" x14ac:dyDescent="0.25">
      <c r="A1825" s="42">
        <f t="shared" si="30"/>
        <v>1824</v>
      </c>
      <c r="B1825" s="42" cm="1">
        <f t="array" aca="1" ref="B1825" ca="1">INDEX(Historical!$A$1:$A$18, RANDBETWEEN(1, COUNTA(Historical!$A$1:$A$18)))</f>
        <v>1.375</v>
      </c>
      <c r="C1825" s="42">
        <f ca="1">Inputs!$B$2/B1825</f>
        <v>162.90909090909091</v>
      </c>
      <c r="D1825" s="43">
        <f ca="1">WORKDAY(Inputs!$B$3, ROUND(C1825, 0),Sheet2!$A$2:$A$21)</f>
        <v>46255</v>
      </c>
    </row>
    <row r="1826" spans="1:4" x14ac:dyDescent="0.25">
      <c r="A1826" s="42">
        <f t="shared" si="30"/>
        <v>1825</v>
      </c>
      <c r="B1826" s="42" cm="1">
        <f t="array" aca="1" ref="B1826" ca="1">INDEX(Historical!$A$1:$A$18, RANDBETWEEN(1, COUNTA(Historical!$A$1:$A$18)))</f>
        <v>1.368421052631579</v>
      </c>
      <c r="C1826" s="42">
        <f ca="1">Inputs!$B$2/B1826</f>
        <v>163.69230769230768</v>
      </c>
      <c r="D1826" s="43">
        <f ca="1">WORKDAY(Inputs!$B$3, ROUND(C1826, 0),Sheet2!$A$2:$A$21)</f>
        <v>46258</v>
      </c>
    </row>
    <row r="1827" spans="1:4" x14ac:dyDescent="0.25">
      <c r="A1827" s="42">
        <f t="shared" si="30"/>
        <v>1826</v>
      </c>
      <c r="B1827" s="42" cm="1">
        <f t="array" aca="1" ref="B1827" ca="1">INDEX(Historical!$A$1:$A$18, RANDBETWEEN(1, COUNTA(Historical!$A$1:$A$18)))</f>
        <v>1.3157894736842106</v>
      </c>
      <c r="C1827" s="42">
        <f ca="1">Inputs!$B$2/B1827</f>
        <v>170.23999999999998</v>
      </c>
      <c r="D1827" s="43">
        <f ca="1">WORKDAY(Inputs!$B$3, ROUND(C1827, 0),Sheet2!$A$2:$A$21)</f>
        <v>46266</v>
      </c>
    </row>
    <row r="1828" spans="1:4" x14ac:dyDescent="0.25">
      <c r="A1828" s="42">
        <f t="shared" si="30"/>
        <v>1827</v>
      </c>
      <c r="B1828" s="42" cm="1">
        <f t="array" aca="1" ref="B1828" ca="1">INDEX(Historical!$A$1:$A$18, RANDBETWEEN(1, COUNTA(Historical!$A$1:$A$18)))</f>
        <v>1.3559322033898304</v>
      </c>
      <c r="C1828" s="42">
        <f ca="1">Inputs!$B$2/B1828</f>
        <v>165.20000000000002</v>
      </c>
      <c r="D1828" s="43">
        <f ca="1">WORKDAY(Inputs!$B$3, ROUND(C1828, 0),Sheet2!$A$2:$A$21)</f>
        <v>46259</v>
      </c>
    </row>
    <row r="1829" spans="1:4" x14ac:dyDescent="0.25">
      <c r="A1829" s="42">
        <f t="shared" si="30"/>
        <v>1828</v>
      </c>
      <c r="B1829" s="42" cm="1">
        <f t="array" aca="1" ref="B1829" ca="1">INDEX(Historical!$A$1:$A$18, RANDBETWEEN(1, COUNTA(Historical!$A$1:$A$18)))</f>
        <v>1.303030303030303</v>
      </c>
      <c r="C1829" s="42">
        <f ca="1">Inputs!$B$2/B1829</f>
        <v>171.90697674418604</v>
      </c>
      <c r="D1829" s="43">
        <f ca="1">WORKDAY(Inputs!$B$3, ROUND(C1829, 0),Sheet2!$A$2:$A$21)</f>
        <v>46268</v>
      </c>
    </row>
    <row r="1830" spans="1:4" x14ac:dyDescent="0.25">
      <c r="A1830" s="42">
        <f t="shared" si="30"/>
        <v>1829</v>
      </c>
      <c r="B1830" s="42" cm="1">
        <f t="array" aca="1" ref="B1830" ca="1">INDEX(Historical!$A$1:$A$18, RANDBETWEEN(1, COUNTA(Historical!$A$1:$A$18)))</f>
        <v>1.4761904761904763</v>
      </c>
      <c r="C1830" s="42">
        <f ca="1">Inputs!$B$2/B1830</f>
        <v>151.74193548387095</v>
      </c>
      <c r="D1830" s="43">
        <f ca="1">WORKDAY(Inputs!$B$3, ROUND(C1830, 0),Sheet2!$A$2:$A$21)</f>
        <v>46240</v>
      </c>
    </row>
    <row r="1831" spans="1:4" x14ac:dyDescent="0.25">
      <c r="A1831" s="42">
        <f t="shared" si="30"/>
        <v>1830</v>
      </c>
      <c r="B1831" s="42" cm="1">
        <f t="array" aca="1" ref="B1831" ca="1">INDEX(Historical!$A$1:$A$18, RANDBETWEEN(1, COUNTA(Historical!$A$1:$A$18)))</f>
        <v>1.375</v>
      </c>
      <c r="C1831" s="42">
        <f ca="1">Inputs!$B$2/B1831</f>
        <v>162.90909090909091</v>
      </c>
      <c r="D1831" s="43">
        <f ca="1">WORKDAY(Inputs!$B$3, ROUND(C1831, 0),Sheet2!$A$2:$A$21)</f>
        <v>46255</v>
      </c>
    </row>
    <row r="1832" spans="1:4" x14ac:dyDescent="0.25">
      <c r="A1832" s="42">
        <f t="shared" si="30"/>
        <v>1831</v>
      </c>
      <c r="B1832" s="42" cm="1">
        <f t="array" aca="1" ref="B1832" ca="1">INDEX(Historical!$A$1:$A$18, RANDBETWEEN(1, COUNTA(Historical!$A$1:$A$18)))</f>
        <v>1.3157894736842106</v>
      </c>
      <c r="C1832" s="42">
        <f ca="1">Inputs!$B$2/B1832</f>
        <v>170.23999999999998</v>
      </c>
      <c r="D1832" s="43">
        <f ca="1">WORKDAY(Inputs!$B$3, ROUND(C1832, 0),Sheet2!$A$2:$A$21)</f>
        <v>46266</v>
      </c>
    </row>
    <row r="1833" spans="1:4" x14ac:dyDescent="0.25">
      <c r="A1833" s="42">
        <f t="shared" si="30"/>
        <v>1832</v>
      </c>
      <c r="B1833" s="42" cm="1">
        <f t="array" aca="1" ref="B1833" ca="1">INDEX(Historical!$A$1:$A$18, RANDBETWEEN(1, COUNTA(Historical!$A$1:$A$18)))</f>
        <v>1.303030303030303</v>
      </c>
      <c r="C1833" s="42">
        <f ca="1">Inputs!$B$2/B1833</f>
        <v>171.90697674418604</v>
      </c>
      <c r="D1833" s="43">
        <f ca="1">WORKDAY(Inputs!$B$3, ROUND(C1833, 0),Sheet2!$A$2:$A$21)</f>
        <v>46268</v>
      </c>
    </row>
    <row r="1834" spans="1:4" x14ac:dyDescent="0.25">
      <c r="A1834" s="42">
        <f t="shared" si="30"/>
        <v>1833</v>
      </c>
      <c r="B1834" s="42" cm="1">
        <f t="array" aca="1" ref="B1834" ca="1">INDEX(Historical!$A$1:$A$18, RANDBETWEEN(1, COUNTA(Historical!$A$1:$A$18)))</f>
        <v>1.3611111111111112</v>
      </c>
      <c r="C1834" s="42">
        <f ca="1">Inputs!$B$2/B1834</f>
        <v>164.57142857142856</v>
      </c>
      <c r="D1834" s="43">
        <f ca="1">WORKDAY(Inputs!$B$3, ROUND(C1834, 0),Sheet2!$A$2:$A$21)</f>
        <v>46259</v>
      </c>
    </row>
    <row r="1835" spans="1:4" x14ac:dyDescent="0.25">
      <c r="A1835" s="42">
        <f t="shared" si="30"/>
        <v>1834</v>
      </c>
      <c r="B1835" s="42" cm="1">
        <f t="array" aca="1" ref="B1835" ca="1">INDEX(Historical!$A$1:$A$18, RANDBETWEEN(1, COUNTA(Historical!$A$1:$A$18)))</f>
        <v>1.3692307692307693</v>
      </c>
      <c r="C1835" s="42">
        <f ca="1">Inputs!$B$2/B1835</f>
        <v>163.59550561797752</v>
      </c>
      <c r="D1835" s="43">
        <f ca="1">WORKDAY(Inputs!$B$3, ROUND(C1835, 0),Sheet2!$A$2:$A$21)</f>
        <v>46258</v>
      </c>
    </row>
    <row r="1836" spans="1:4" x14ac:dyDescent="0.25">
      <c r="A1836" s="42">
        <f t="shared" si="30"/>
        <v>1835</v>
      </c>
      <c r="B1836" s="42" cm="1">
        <f t="array" aca="1" ref="B1836" ca="1">INDEX(Historical!$A$1:$A$18, RANDBETWEEN(1, COUNTA(Historical!$A$1:$A$18)))</f>
        <v>1.368421052631579</v>
      </c>
      <c r="C1836" s="42">
        <f ca="1">Inputs!$B$2/B1836</f>
        <v>163.69230769230768</v>
      </c>
      <c r="D1836" s="43">
        <f ca="1">WORKDAY(Inputs!$B$3, ROUND(C1836, 0),Sheet2!$A$2:$A$21)</f>
        <v>46258</v>
      </c>
    </row>
    <row r="1837" spans="1:4" x14ac:dyDescent="0.25">
      <c r="A1837" s="42">
        <f t="shared" si="30"/>
        <v>1836</v>
      </c>
      <c r="B1837" s="42" cm="1">
        <f t="array" aca="1" ref="B1837" ca="1">INDEX(Historical!$A$1:$A$18, RANDBETWEEN(1, COUNTA(Historical!$A$1:$A$18)))</f>
        <v>1.303030303030303</v>
      </c>
      <c r="C1837" s="42">
        <f ca="1">Inputs!$B$2/B1837</f>
        <v>171.90697674418604</v>
      </c>
      <c r="D1837" s="43">
        <f ca="1">WORKDAY(Inputs!$B$3, ROUND(C1837, 0),Sheet2!$A$2:$A$21)</f>
        <v>46268</v>
      </c>
    </row>
    <row r="1838" spans="1:4" x14ac:dyDescent="0.25">
      <c r="A1838" s="42">
        <f t="shared" si="30"/>
        <v>1837</v>
      </c>
      <c r="B1838" s="42" cm="1">
        <f t="array" aca="1" ref="B1838" ca="1">INDEX(Historical!$A$1:$A$18, RANDBETWEEN(1, COUNTA(Historical!$A$1:$A$18)))</f>
        <v>1.303030303030303</v>
      </c>
      <c r="C1838" s="42">
        <f ca="1">Inputs!$B$2/B1838</f>
        <v>171.90697674418604</v>
      </c>
      <c r="D1838" s="43">
        <f ca="1">WORKDAY(Inputs!$B$3, ROUND(C1838, 0),Sheet2!$A$2:$A$21)</f>
        <v>46268</v>
      </c>
    </row>
    <row r="1839" spans="1:4" x14ac:dyDescent="0.25">
      <c r="A1839" s="42">
        <f t="shared" si="30"/>
        <v>1838</v>
      </c>
      <c r="B1839" s="42" cm="1">
        <f t="array" aca="1" ref="B1839" ca="1">INDEX(Historical!$A$1:$A$18, RANDBETWEEN(1, COUNTA(Historical!$A$1:$A$18)))</f>
        <v>1.2941176470588236</v>
      </c>
      <c r="C1839" s="42">
        <f ca="1">Inputs!$B$2/B1839</f>
        <v>173.09090909090909</v>
      </c>
      <c r="D1839" s="43">
        <f ca="1">WORKDAY(Inputs!$B$3, ROUND(C1839, 0),Sheet2!$A$2:$A$21)</f>
        <v>46269</v>
      </c>
    </row>
    <row r="1840" spans="1:4" x14ac:dyDescent="0.25">
      <c r="A1840" s="42">
        <f t="shared" si="30"/>
        <v>1839</v>
      </c>
      <c r="B1840" s="42" cm="1">
        <f t="array" aca="1" ref="B1840" ca="1">INDEX(Historical!$A$1:$A$18, RANDBETWEEN(1, COUNTA(Historical!$A$1:$A$18)))</f>
        <v>1.4137931034482758</v>
      </c>
      <c r="C1840" s="42">
        <f ca="1">Inputs!$B$2/B1840</f>
        <v>158.4390243902439</v>
      </c>
      <c r="D1840" s="43">
        <f ca="1">WORKDAY(Inputs!$B$3, ROUND(C1840, 0),Sheet2!$A$2:$A$21)</f>
        <v>46248</v>
      </c>
    </row>
    <row r="1841" spans="1:4" x14ac:dyDescent="0.25">
      <c r="A1841" s="42">
        <f t="shared" si="30"/>
        <v>1840</v>
      </c>
      <c r="B1841" s="42" cm="1">
        <f t="array" aca="1" ref="B1841" ca="1">INDEX(Historical!$A$1:$A$18, RANDBETWEEN(1, COUNTA(Historical!$A$1:$A$18)))</f>
        <v>1.1666666666666667</v>
      </c>
      <c r="C1841" s="42">
        <f ca="1">Inputs!$B$2/B1841</f>
        <v>192</v>
      </c>
      <c r="D1841" s="43">
        <f ca="1">WORKDAY(Inputs!$B$3, ROUND(C1841, 0),Sheet2!$A$2:$A$21)</f>
        <v>46297</v>
      </c>
    </row>
    <row r="1842" spans="1:4" x14ac:dyDescent="0.25">
      <c r="A1842" s="42">
        <f t="shared" si="30"/>
        <v>1841</v>
      </c>
      <c r="B1842" s="42" cm="1">
        <f t="array" aca="1" ref="B1842" ca="1">INDEX(Historical!$A$1:$A$18, RANDBETWEEN(1, COUNTA(Historical!$A$1:$A$18)))</f>
        <v>1.290909090909091</v>
      </c>
      <c r="C1842" s="42">
        <f ca="1">Inputs!$B$2/B1842</f>
        <v>173.52112676056336</v>
      </c>
      <c r="D1842" s="43">
        <f ca="1">WORKDAY(Inputs!$B$3, ROUND(C1842, 0),Sheet2!$A$2:$A$21)</f>
        <v>46273</v>
      </c>
    </row>
    <row r="1843" spans="1:4" x14ac:dyDescent="0.25">
      <c r="A1843" s="42">
        <f t="shared" si="30"/>
        <v>1842</v>
      </c>
      <c r="B1843" s="42" cm="1">
        <f t="array" aca="1" ref="B1843" ca="1">INDEX(Historical!$A$1:$A$18, RANDBETWEEN(1, COUNTA(Historical!$A$1:$A$18)))</f>
        <v>1.3157894736842106</v>
      </c>
      <c r="C1843" s="42">
        <f ca="1">Inputs!$B$2/B1843</f>
        <v>170.23999999999998</v>
      </c>
      <c r="D1843" s="43">
        <f ca="1">WORKDAY(Inputs!$B$3, ROUND(C1843, 0),Sheet2!$A$2:$A$21)</f>
        <v>46266</v>
      </c>
    </row>
    <row r="1844" spans="1:4" x14ac:dyDescent="0.25">
      <c r="A1844" s="42">
        <f t="shared" si="30"/>
        <v>1843</v>
      </c>
      <c r="B1844" s="42" cm="1">
        <f t="array" aca="1" ref="B1844" ca="1">INDEX(Historical!$A$1:$A$18, RANDBETWEEN(1, COUNTA(Historical!$A$1:$A$18)))</f>
        <v>1.375</v>
      </c>
      <c r="C1844" s="42">
        <f ca="1">Inputs!$B$2/B1844</f>
        <v>162.90909090909091</v>
      </c>
      <c r="D1844" s="43">
        <f ca="1">WORKDAY(Inputs!$B$3, ROUND(C1844, 0),Sheet2!$A$2:$A$21)</f>
        <v>46255</v>
      </c>
    </row>
    <row r="1845" spans="1:4" x14ac:dyDescent="0.25">
      <c r="A1845" s="42">
        <f t="shared" si="30"/>
        <v>1844</v>
      </c>
      <c r="B1845" s="42" cm="1">
        <f t="array" aca="1" ref="B1845" ca="1">INDEX(Historical!$A$1:$A$18, RANDBETWEEN(1, COUNTA(Historical!$A$1:$A$18)))</f>
        <v>1.303030303030303</v>
      </c>
      <c r="C1845" s="42">
        <f ca="1">Inputs!$B$2/B1845</f>
        <v>171.90697674418604</v>
      </c>
      <c r="D1845" s="43">
        <f ca="1">WORKDAY(Inputs!$B$3, ROUND(C1845, 0),Sheet2!$A$2:$A$21)</f>
        <v>46268</v>
      </c>
    </row>
    <row r="1846" spans="1:4" x14ac:dyDescent="0.25">
      <c r="A1846" s="42">
        <f t="shared" si="30"/>
        <v>1845</v>
      </c>
      <c r="B1846" s="42" cm="1">
        <f t="array" aca="1" ref="B1846" ca="1">INDEX(Historical!$A$1:$A$18, RANDBETWEEN(1, COUNTA(Historical!$A$1:$A$18)))</f>
        <v>1.3559322033898304</v>
      </c>
      <c r="C1846" s="42">
        <f ca="1">Inputs!$B$2/B1846</f>
        <v>165.20000000000002</v>
      </c>
      <c r="D1846" s="43">
        <f ca="1">WORKDAY(Inputs!$B$3, ROUND(C1846, 0),Sheet2!$A$2:$A$21)</f>
        <v>46259</v>
      </c>
    </row>
    <row r="1847" spans="1:4" x14ac:dyDescent="0.25">
      <c r="A1847" s="42">
        <f t="shared" si="30"/>
        <v>1846</v>
      </c>
      <c r="B1847" s="42" cm="1">
        <f t="array" aca="1" ref="B1847" ca="1">INDEX(Historical!$A$1:$A$18, RANDBETWEEN(1, COUNTA(Historical!$A$1:$A$18)))</f>
        <v>1.4347826086956521</v>
      </c>
      <c r="C1847" s="42">
        <f ca="1">Inputs!$B$2/B1847</f>
        <v>156.12121212121212</v>
      </c>
      <c r="D1847" s="43">
        <f ca="1">WORKDAY(Inputs!$B$3, ROUND(C1847, 0),Sheet2!$A$2:$A$21)</f>
        <v>46246</v>
      </c>
    </row>
    <row r="1848" spans="1:4" x14ac:dyDescent="0.25">
      <c r="A1848" s="42">
        <f t="shared" si="30"/>
        <v>1847</v>
      </c>
      <c r="B1848" s="42" cm="1">
        <f t="array" aca="1" ref="B1848" ca="1">INDEX(Historical!$A$1:$A$18, RANDBETWEEN(1, COUNTA(Historical!$A$1:$A$18)))</f>
        <v>1.3214285714285714</v>
      </c>
      <c r="C1848" s="42">
        <f ca="1">Inputs!$B$2/B1848</f>
        <v>169.51351351351352</v>
      </c>
      <c r="D1848" s="43">
        <f ca="1">WORKDAY(Inputs!$B$3, ROUND(C1848, 0),Sheet2!$A$2:$A$21)</f>
        <v>46266</v>
      </c>
    </row>
    <row r="1849" spans="1:4" x14ac:dyDescent="0.25">
      <c r="A1849" s="42">
        <f t="shared" si="30"/>
        <v>1848</v>
      </c>
      <c r="B1849" s="42" cm="1">
        <f t="array" aca="1" ref="B1849" ca="1">INDEX(Historical!$A$1:$A$18, RANDBETWEEN(1, COUNTA(Historical!$A$1:$A$18)))</f>
        <v>1.4761904761904763</v>
      </c>
      <c r="C1849" s="42">
        <f ca="1">Inputs!$B$2/B1849</f>
        <v>151.74193548387095</v>
      </c>
      <c r="D1849" s="43">
        <f ca="1">WORKDAY(Inputs!$B$3, ROUND(C1849, 0),Sheet2!$A$2:$A$21)</f>
        <v>46240</v>
      </c>
    </row>
    <row r="1850" spans="1:4" x14ac:dyDescent="0.25">
      <c r="A1850" s="42">
        <f t="shared" si="30"/>
        <v>1849</v>
      </c>
      <c r="B1850" s="42" cm="1">
        <f t="array" aca="1" ref="B1850" ca="1">INDEX(Historical!$A$1:$A$18, RANDBETWEEN(1, COUNTA(Historical!$A$1:$A$18)))</f>
        <v>1.4347826086956521</v>
      </c>
      <c r="C1850" s="42">
        <f ca="1">Inputs!$B$2/B1850</f>
        <v>156.12121212121212</v>
      </c>
      <c r="D1850" s="43">
        <f ca="1">WORKDAY(Inputs!$B$3, ROUND(C1850, 0),Sheet2!$A$2:$A$21)</f>
        <v>46246</v>
      </c>
    </row>
    <row r="1851" spans="1:4" x14ac:dyDescent="0.25">
      <c r="A1851" s="42">
        <f t="shared" si="30"/>
        <v>1850</v>
      </c>
      <c r="B1851" s="42" cm="1">
        <f t="array" aca="1" ref="B1851" ca="1">INDEX(Historical!$A$1:$A$18, RANDBETWEEN(1, COUNTA(Historical!$A$1:$A$18)))</f>
        <v>1.375</v>
      </c>
      <c r="C1851" s="42">
        <f ca="1">Inputs!$B$2/B1851</f>
        <v>162.90909090909091</v>
      </c>
      <c r="D1851" s="43">
        <f ca="1">WORKDAY(Inputs!$B$3, ROUND(C1851, 0),Sheet2!$A$2:$A$21)</f>
        <v>46255</v>
      </c>
    </row>
    <row r="1852" spans="1:4" x14ac:dyDescent="0.25">
      <c r="A1852" s="42">
        <f t="shared" si="30"/>
        <v>1851</v>
      </c>
      <c r="B1852" s="42" cm="1">
        <f t="array" aca="1" ref="B1852" ca="1">INDEX(Historical!$A$1:$A$18, RANDBETWEEN(1, COUNTA(Historical!$A$1:$A$18)))</f>
        <v>1.3559322033898304</v>
      </c>
      <c r="C1852" s="42">
        <f ca="1">Inputs!$B$2/B1852</f>
        <v>165.20000000000002</v>
      </c>
      <c r="D1852" s="43">
        <f ca="1">WORKDAY(Inputs!$B$3, ROUND(C1852, 0),Sheet2!$A$2:$A$21)</f>
        <v>46259</v>
      </c>
    </row>
    <row r="1853" spans="1:4" x14ac:dyDescent="0.25">
      <c r="A1853" s="42">
        <f t="shared" si="30"/>
        <v>1852</v>
      </c>
      <c r="B1853" s="42" cm="1">
        <f t="array" aca="1" ref="B1853" ca="1">INDEX(Historical!$A$1:$A$18, RANDBETWEEN(1, COUNTA(Historical!$A$1:$A$18)))</f>
        <v>1.1666666666666667</v>
      </c>
      <c r="C1853" s="42">
        <f ca="1">Inputs!$B$2/B1853</f>
        <v>192</v>
      </c>
      <c r="D1853" s="43">
        <f ca="1">WORKDAY(Inputs!$B$3, ROUND(C1853, 0),Sheet2!$A$2:$A$21)</f>
        <v>46297</v>
      </c>
    </row>
    <row r="1854" spans="1:4" x14ac:dyDescent="0.25">
      <c r="A1854" s="42">
        <f t="shared" si="30"/>
        <v>1853</v>
      </c>
      <c r="B1854" s="42" cm="1">
        <f t="array" aca="1" ref="B1854" ca="1">INDEX(Historical!$A$1:$A$18, RANDBETWEEN(1, COUNTA(Historical!$A$1:$A$18)))</f>
        <v>1.4761904761904763</v>
      </c>
      <c r="C1854" s="42">
        <f ca="1">Inputs!$B$2/B1854</f>
        <v>151.74193548387095</v>
      </c>
      <c r="D1854" s="43">
        <f ca="1">WORKDAY(Inputs!$B$3, ROUND(C1854, 0),Sheet2!$A$2:$A$21)</f>
        <v>46240</v>
      </c>
    </row>
    <row r="1855" spans="1:4" x14ac:dyDescent="0.25">
      <c r="A1855" s="42">
        <f t="shared" si="30"/>
        <v>1854</v>
      </c>
      <c r="B1855" s="42" cm="1">
        <f t="array" aca="1" ref="B1855" ca="1">INDEX(Historical!$A$1:$A$18, RANDBETWEEN(1, COUNTA(Historical!$A$1:$A$18)))</f>
        <v>1.3157894736842106</v>
      </c>
      <c r="C1855" s="42">
        <f ca="1">Inputs!$B$2/B1855</f>
        <v>170.23999999999998</v>
      </c>
      <c r="D1855" s="43">
        <f ca="1">WORKDAY(Inputs!$B$3, ROUND(C1855, 0),Sheet2!$A$2:$A$21)</f>
        <v>46266</v>
      </c>
    </row>
    <row r="1856" spans="1:4" x14ac:dyDescent="0.25">
      <c r="A1856" s="42">
        <f t="shared" si="30"/>
        <v>1855</v>
      </c>
      <c r="B1856" s="42" cm="1">
        <f t="array" aca="1" ref="B1856" ca="1">INDEX(Historical!$A$1:$A$18, RANDBETWEEN(1, COUNTA(Historical!$A$1:$A$18)))</f>
        <v>1.3214285714285714</v>
      </c>
      <c r="C1856" s="42">
        <f ca="1">Inputs!$B$2/B1856</f>
        <v>169.51351351351352</v>
      </c>
      <c r="D1856" s="43">
        <f ca="1">WORKDAY(Inputs!$B$3, ROUND(C1856, 0),Sheet2!$A$2:$A$21)</f>
        <v>46266</v>
      </c>
    </row>
    <row r="1857" spans="1:4" x14ac:dyDescent="0.25">
      <c r="A1857" s="42">
        <f t="shared" si="30"/>
        <v>1856</v>
      </c>
      <c r="B1857" s="42" cm="1">
        <f t="array" aca="1" ref="B1857" ca="1">INDEX(Historical!$A$1:$A$18, RANDBETWEEN(1, COUNTA(Historical!$A$1:$A$18)))</f>
        <v>1.3157894736842106</v>
      </c>
      <c r="C1857" s="42">
        <f ca="1">Inputs!$B$2/B1857</f>
        <v>170.23999999999998</v>
      </c>
      <c r="D1857" s="43">
        <f ca="1">WORKDAY(Inputs!$B$3, ROUND(C1857, 0),Sheet2!$A$2:$A$21)</f>
        <v>46266</v>
      </c>
    </row>
    <row r="1858" spans="1:4" x14ac:dyDescent="0.25">
      <c r="A1858" s="42">
        <f t="shared" si="30"/>
        <v>1857</v>
      </c>
      <c r="B1858" s="42" cm="1">
        <f t="array" aca="1" ref="B1858" ca="1">INDEX(Historical!$A$1:$A$18, RANDBETWEEN(1, COUNTA(Historical!$A$1:$A$18)))</f>
        <v>1.2941176470588236</v>
      </c>
      <c r="C1858" s="42">
        <f ca="1">Inputs!$B$2/B1858</f>
        <v>173.09090909090909</v>
      </c>
      <c r="D1858" s="43">
        <f ca="1">WORKDAY(Inputs!$B$3, ROUND(C1858, 0),Sheet2!$A$2:$A$21)</f>
        <v>46269</v>
      </c>
    </row>
    <row r="1859" spans="1:4" x14ac:dyDescent="0.25">
      <c r="A1859" s="42">
        <f t="shared" ref="A1859:A1922" si="31">ROW()-1</f>
        <v>1858</v>
      </c>
      <c r="B1859" s="42" cm="1">
        <f t="array" aca="1" ref="B1859" ca="1">INDEX(Historical!$A$1:$A$18, RANDBETWEEN(1, COUNTA(Historical!$A$1:$A$18)))</f>
        <v>1.5</v>
      </c>
      <c r="C1859" s="42">
        <f ca="1">Inputs!$B$2/B1859</f>
        <v>149.33333333333334</v>
      </c>
      <c r="D1859" s="43">
        <f ca="1">WORKDAY(Inputs!$B$3, ROUND(C1859, 0),Sheet2!$A$2:$A$21)</f>
        <v>46237</v>
      </c>
    </row>
    <row r="1860" spans="1:4" x14ac:dyDescent="0.25">
      <c r="A1860" s="42">
        <f t="shared" si="31"/>
        <v>1859</v>
      </c>
      <c r="B1860" s="42" cm="1">
        <f t="array" aca="1" ref="B1860" ca="1">INDEX(Historical!$A$1:$A$18, RANDBETWEEN(1, COUNTA(Historical!$A$1:$A$18)))</f>
        <v>1.290909090909091</v>
      </c>
      <c r="C1860" s="42">
        <f ca="1">Inputs!$B$2/B1860</f>
        <v>173.52112676056336</v>
      </c>
      <c r="D1860" s="43">
        <f ca="1">WORKDAY(Inputs!$B$3, ROUND(C1860, 0),Sheet2!$A$2:$A$21)</f>
        <v>46273</v>
      </c>
    </row>
    <row r="1861" spans="1:4" x14ac:dyDescent="0.25">
      <c r="A1861" s="42">
        <f t="shared" si="31"/>
        <v>1860</v>
      </c>
      <c r="B1861" s="42" cm="1">
        <f t="array" aca="1" ref="B1861" ca="1">INDEX(Historical!$A$1:$A$18, RANDBETWEEN(1, COUNTA(Historical!$A$1:$A$18)))</f>
        <v>1.375</v>
      </c>
      <c r="C1861" s="42">
        <f ca="1">Inputs!$B$2/B1861</f>
        <v>162.90909090909091</v>
      </c>
      <c r="D1861" s="43">
        <f ca="1">WORKDAY(Inputs!$B$3, ROUND(C1861, 0),Sheet2!$A$2:$A$21)</f>
        <v>46255</v>
      </c>
    </row>
    <row r="1862" spans="1:4" x14ac:dyDescent="0.25">
      <c r="A1862" s="42">
        <f t="shared" si="31"/>
        <v>1861</v>
      </c>
      <c r="B1862" s="42" cm="1">
        <f t="array" aca="1" ref="B1862" ca="1">INDEX(Historical!$A$1:$A$18, RANDBETWEEN(1, COUNTA(Historical!$A$1:$A$18)))</f>
        <v>1.3692307692307693</v>
      </c>
      <c r="C1862" s="42">
        <f ca="1">Inputs!$B$2/B1862</f>
        <v>163.59550561797752</v>
      </c>
      <c r="D1862" s="43">
        <f ca="1">WORKDAY(Inputs!$B$3, ROUND(C1862, 0),Sheet2!$A$2:$A$21)</f>
        <v>46258</v>
      </c>
    </row>
    <row r="1863" spans="1:4" x14ac:dyDescent="0.25">
      <c r="A1863" s="42">
        <f t="shared" si="31"/>
        <v>1862</v>
      </c>
      <c r="B1863" s="42" cm="1">
        <f t="array" aca="1" ref="B1863" ca="1">INDEX(Historical!$A$1:$A$18, RANDBETWEEN(1, COUNTA(Historical!$A$1:$A$18)))</f>
        <v>1.3707865168539326</v>
      </c>
      <c r="C1863" s="42">
        <f ca="1">Inputs!$B$2/B1863</f>
        <v>163.40983606557376</v>
      </c>
      <c r="D1863" s="43">
        <f ca="1">WORKDAY(Inputs!$B$3, ROUND(C1863, 0),Sheet2!$A$2:$A$21)</f>
        <v>46255</v>
      </c>
    </row>
    <row r="1864" spans="1:4" x14ac:dyDescent="0.25">
      <c r="A1864" s="42">
        <f t="shared" si="31"/>
        <v>1863</v>
      </c>
      <c r="B1864" s="42" cm="1">
        <f t="array" aca="1" ref="B1864" ca="1">INDEX(Historical!$A$1:$A$18, RANDBETWEEN(1, COUNTA(Historical!$A$1:$A$18)))</f>
        <v>1.3559322033898304</v>
      </c>
      <c r="C1864" s="42">
        <f ca="1">Inputs!$B$2/B1864</f>
        <v>165.20000000000002</v>
      </c>
      <c r="D1864" s="43">
        <f ca="1">WORKDAY(Inputs!$B$3, ROUND(C1864, 0),Sheet2!$A$2:$A$21)</f>
        <v>46259</v>
      </c>
    </row>
    <row r="1865" spans="1:4" x14ac:dyDescent="0.25">
      <c r="A1865" s="42">
        <f t="shared" si="31"/>
        <v>1864</v>
      </c>
      <c r="B1865" s="42" cm="1">
        <f t="array" aca="1" ref="B1865" ca="1">INDEX(Historical!$A$1:$A$18, RANDBETWEEN(1, COUNTA(Historical!$A$1:$A$18)))</f>
        <v>1.3692307692307693</v>
      </c>
      <c r="C1865" s="42">
        <f ca="1">Inputs!$B$2/B1865</f>
        <v>163.59550561797752</v>
      </c>
      <c r="D1865" s="43">
        <f ca="1">WORKDAY(Inputs!$B$3, ROUND(C1865, 0),Sheet2!$A$2:$A$21)</f>
        <v>46258</v>
      </c>
    </row>
    <row r="1866" spans="1:4" x14ac:dyDescent="0.25">
      <c r="A1866" s="42">
        <f t="shared" si="31"/>
        <v>1865</v>
      </c>
      <c r="B1866" s="42" cm="1">
        <f t="array" aca="1" ref="B1866" ca="1">INDEX(Historical!$A$1:$A$18, RANDBETWEEN(1, COUNTA(Historical!$A$1:$A$18)))</f>
        <v>1.4137931034482758</v>
      </c>
      <c r="C1866" s="42">
        <f ca="1">Inputs!$B$2/B1866</f>
        <v>158.4390243902439</v>
      </c>
      <c r="D1866" s="43">
        <f ca="1">WORKDAY(Inputs!$B$3, ROUND(C1866, 0),Sheet2!$A$2:$A$21)</f>
        <v>46248</v>
      </c>
    </row>
    <row r="1867" spans="1:4" x14ac:dyDescent="0.25">
      <c r="A1867" s="42">
        <f t="shared" si="31"/>
        <v>1866</v>
      </c>
      <c r="B1867" s="42" cm="1">
        <f t="array" aca="1" ref="B1867" ca="1">INDEX(Historical!$A$1:$A$18, RANDBETWEEN(1, COUNTA(Historical!$A$1:$A$18)))</f>
        <v>1.3617021276595744</v>
      </c>
      <c r="C1867" s="42">
        <f ca="1">Inputs!$B$2/B1867</f>
        <v>164.5</v>
      </c>
      <c r="D1867" s="43">
        <f ca="1">WORKDAY(Inputs!$B$3, ROUND(C1867, 0),Sheet2!$A$2:$A$21)</f>
        <v>46259</v>
      </c>
    </row>
    <row r="1868" spans="1:4" x14ac:dyDescent="0.25">
      <c r="A1868" s="42">
        <f t="shared" si="31"/>
        <v>1867</v>
      </c>
      <c r="B1868" s="42" cm="1">
        <f t="array" aca="1" ref="B1868" ca="1">INDEX(Historical!$A$1:$A$18, RANDBETWEEN(1, COUNTA(Historical!$A$1:$A$18)))</f>
        <v>1.2941176470588236</v>
      </c>
      <c r="C1868" s="42">
        <f ca="1">Inputs!$B$2/B1868</f>
        <v>173.09090909090909</v>
      </c>
      <c r="D1868" s="43">
        <f ca="1">WORKDAY(Inputs!$B$3, ROUND(C1868, 0),Sheet2!$A$2:$A$21)</f>
        <v>46269</v>
      </c>
    </row>
    <row r="1869" spans="1:4" x14ac:dyDescent="0.25">
      <c r="A1869" s="42">
        <f t="shared" si="31"/>
        <v>1868</v>
      </c>
      <c r="B1869" s="42" cm="1">
        <f t="array" aca="1" ref="B1869" ca="1">INDEX(Historical!$A$1:$A$18, RANDBETWEEN(1, COUNTA(Historical!$A$1:$A$18)))</f>
        <v>1.4137931034482758</v>
      </c>
      <c r="C1869" s="42">
        <f ca="1">Inputs!$B$2/B1869</f>
        <v>158.4390243902439</v>
      </c>
      <c r="D1869" s="43">
        <f ca="1">WORKDAY(Inputs!$B$3, ROUND(C1869, 0),Sheet2!$A$2:$A$21)</f>
        <v>46248</v>
      </c>
    </row>
    <row r="1870" spans="1:4" x14ac:dyDescent="0.25">
      <c r="A1870" s="42">
        <f t="shared" si="31"/>
        <v>1869</v>
      </c>
      <c r="B1870" s="42" cm="1">
        <f t="array" aca="1" ref="B1870" ca="1">INDEX(Historical!$A$1:$A$18, RANDBETWEEN(1, COUNTA(Historical!$A$1:$A$18)))</f>
        <v>1.4038461538461537</v>
      </c>
      <c r="C1870" s="42">
        <f ca="1">Inputs!$B$2/B1870</f>
        <v>159.56164383561645</v>
      </c>
      <c r="D1870" s="43">
        <f ca="1">WORKDAY(Inputs!$B$3, ROUND(C1870, 0),Sheet2!$A$2:$A$21)</f>
        <v>46252</v>
      </c>
    </row>
    <row r="1871" spans="1:4" x14ac:dyDescent="0.25">
      <c r="A1871" s="42">
        <f t="shared" si="31"/>
        <v>1870</v>
      </c>
      <c r="B1871" s="42" cm="1">
        <f t="array" aca="1" ref="B1871" ca="1">INDEX(Historical!$A$1:$A$18, RANDBETWEEN(1, COUNTA(Historical!$A$1:$A$18)))</f>
        <v>1.3707865168539326</v>
      </c>
      <c r="C1871" s="42">
        <f ca="1">Inputs!$B$2/B1871</f>
        <v>163.40983606557376</v>
      </c>
      <c r="D1871" s="43">
        <f ca="1">WORKDAY(Inputs!$B$3, ROUND(C1871, 0),Sheet2!$A$2:$A$21)</f>
        <v>46255</v>
      </c>
    </row>
    <row r="1872" spans="1:4" x14ac:dyDescent="0.25">
      <c r="A1872" s="42">
        <f t="shared" si="31"/>
        <v>1871</v>
      </c>
      <c r="B1872" s="42" cm="1">
        <f t="array" aca="1" ref="B1872" ca="1">INDEX(Historical!$A$1:$A$18, RANDBETWEEN(1, COUNTA(Historical!$A$1:$A$18)))</f>
        <v>1.5</v>
      </c>
      <c r="C1872" s="42">
        <f ca="1">Inputs!$B$2/B1872</f>
        <v>149.33333333333334</v>
      </c>
      <c r="D1872" s="43">
        <f ca="1">WORKDAY(Inputs!$B$3, ROUND(C1872, 0),Sheet2!$A$2:$A$21)</f>
        <v>46237</v>
      </c>
    </row>
    <row r="1873" spans="1:4" x14ac:dyDescent="0.25">
      <c r="A1873" s="42">
        <f t="shared" si="31"/>
        <v>1872</v>
      </c>
      <c r="B1873" s="42" cm="1">
        <f t="array" aca="1" ref="B1873" ca="1">INDEX(Historical!$A$1:$A$18, RANDBETWEEN(1, COUNTA(Historical!$A$1:$A$18)))</f>
        <v>1.3611111111111112</v>
      </c>
      <c r="C1873" s="42">
        <f ca="1">Inputs!$B$2/B1873</f>
        <v>164.57142857142856</v>
      </c>
      <c r="D1873" s="43">
        <f ca="1">WORKDAY(Inputs!$B$3, ROUND(C1873, 0),Sheet2!$A$2:$A$21)</f>
        <v>46259</v>
      </c>
    </row>
    <row r="1874" spans="1:4" x14ac:dyDescent="0.25">
      <c r="A1874" s="42">
        <f t="shared" si="31"/>
        <v>1873</v>
      </c>
      <c r="B1874" s="42" cm="1">
        <f t="array" aca="1" ref="B1874" ca="1">INDEX(Historical!$A$1:$A$18, RANDBETWEEN(1, COUNTA(Historical!$A$1:$A$18)))</f>
        <v>1.4761904761904763</v>
      </c>
      <c r="C1874" s="42">
        <f ca="1">Inputs!$B$2/B1874</f>
        <v>151.74193548387095</v>
      </c>
      <c r="D1874" s="43">
        <f ca="1">WORKDAY(Inputs!$B$3, ROUND(C1874, 0),Sheet2!$A$2:$A$21)</f>
        <v>46240</v>
      </c>
    </row>
    <row r="1875" spans="1:4" x14ac:dyDescent="0.25">
      <c r="A1875" s="42">
        <f t="shared" si="31"/>
        <v>1874</v>
      </c>
      <c r="B1875" s="42" cm="1">
        <f t="array" aca="1" ref="B1875" ca="1">INDEX(Historical!$A$1:$A$18, RANDBETWEEN(1, COUNTA(Historical!$A$1:$A$18)))</f>
        <v>1.3611111111111112</v>
      </c>
      <c r="C1875" s="42">
        <f ca="1">Inputs!$B$2/B1875</f>
        <v>164.57142857142856</v>
      </c>
      <c r="D1875" s="43">
        <f ca="1">WORKDAY(Inputs!$B$3, ROUND(C1875, 0),Sheet2!$A$2:$A$21)</f>
        <v>46259</v>
      </c>
    </row>
    <row r="1876" spans="1:4" x14ac:dyDescent="0.25">
      <c r="A1876" s="42">
        <f t="shared" si="31"/>
        <v>1875</v>
      </c>
      <c r="B1876" s="42" cm="1">
        <f t="array" aca="1" ref="B1876" ca="1">INDEX(Historical!$A$1:$A$18, RANDBETWEEN(1, COUNTA(Historical!$A$1:$A$18)))</f>
        <v>1.303030303030303</v>
      </c>
      <c r="C1876" s="42">
        <f ca="1">Inputs!$B$2/B1876</f>
        <v>171.90697674418604</v>
      </c>
      <c r="D1876" s="43">
        <f ca="1">WORKDAY(Inputs!$B$3, ROUND(C1876, 0),Sheet2!$A$2:$A$21)</f>
        <v>46268</v>
      </c>
    </row>
    <row r="1877" spans="1:4" x14ac:dyDescent="0.25">
      <c r="A1877" s="42">
        <f t="shared" si="31"/>
        <v>1876</v>
      </c>
      <c r="B1877" s="42" cm="1">
        <f t="array" aca="1" ref="B1877" ca="1">INDEX(Historical!$A$1:$A$18, RANDBETWEEN(1, COUNTA(Historical!$A$1:$A$18)))</f>
        <v>1.3692307692307693</v>
      </c>
      <c r="C1877" s="42">
        <f ca="1">Inputs!$B$2/B1877</f>
        <v>163.59550561797752</v>
      </c>
      <c r="D1877" s="43">
        <f ca="1">WORKDAY(Inputs!$B$3, ROUND(C1877, 0),Sheet2!$A$2:$A$21)</f>
        <v>46258</v>
      </c>
    </row>
    <row r="1878" spans="1:4" x14ac:dyDescent="0.25">
      <c r="A1878" s="42">
        <f t="shared" si="31"/>
        <v>1877</v>
      </c>
      <c r="B1878" s="42" cm="1">
        <f t="array" aca="1" ref="B1878" ca="1">INDEX(Historical!$A$1:$A$18, RANDBETWEEN(1, COUNTA(Historical!$A$1:$A$18)))</f>
        <v>1.4761904761904763</v>
      </c>
      <c r="C1878" s="42">
        <f ca="1">Inputs!$B$2/B1878</f>
        <v>151.74193548387095</v>
      </c>
      <c r="D1878" s="43">
        <f ca="1">WORKDAY(Inputs!$B$3, ROUND(C1878, 0),Sheet2!$A$2:$A$21)</f>
        <v>46240</v>
      </c>
    </row>
    <row r="1879" spans="1:4" x14ac:dyDescent="0.25">
      <c r="A1879" s="42">
        <f t="shared" si="31"/>
        <v>1878</v>
      </c>
      <c r="B1879" s="42" cm="1">
        <f t="array" aca="1" ref="B1879" ca="1">INDEX(Historical!$A$1:$A$18, RANDBETWEEN(1, COUNTA(Historical!$A$1:$A$18)))</f>
        <v>1.368421052631579</v>
      </c>
      <c r="C1879" s="42">
        <f ca="1">Inputs!$B$2/B1879</f>
        <v>163.69230769230768</v>
      </c>
      <c r="D1879" s="43">
        <f ca="1">WORKDAY(Inputs!$B$3, ROUND(C1879, 0),Sheet2!$A$2:$A$21)</f>
        <v>46258</v>
      </c>
    </row>
    <row r="1880" spans="1:4" x14ac:dyDescent="0.25">
      <c r="A1880" s="42">
        <f t="shared" si="31"/>
        <v>1879</v>
      </c>
      <c r="B1880" s="42" cm="1">
        <f t="array" aca="1" ref="B1880" ca="1">INDEX(Historical!$A$1:$A$18, RANDBETWEEN(1, COUNTA(Historical!$A$1:$A$18)))</f>
        <v>1.3214285714285714</v>
      </c>
      <c r="C1880" s="42">
        <f ca="1">Inputs!$B$2/B1880</f>
        <v>169.51351351351352</v>
      </c>
      <c r="D1880" s="43">
        <f ca="1">WORKDAY(Inputs!$B$3, ROUND(C1880, 0),Sheet2!$A$2:$A$21)</f>
        <v>46266</v>
      </c>
    </row>
    <row r="1881" spans="1:4" x14ac:dyDescent="0.25">
      <c r="A1881" s="42">
        <f t="shared" si="31"/>
        <v>1880</v>
      </c>
      <c r="B1881" s="42" cm="1">
        <f t="array" aca="1" ref="B1881" ca="1">INDEX(Historical!$A$1:$A$18, RANDBETWEEN(1, COUNTA(Historical!$A$1:$A$18)))</f>
        <v>1.2941176470588236</v>
      </c>
      <c r="C1881" s="42">
        <f ca="1">Inputs!$B$2/B1881</f>
        <v>173.09090909090909</v>
      </c>
      <c r="D1881" s="43">
        <f ca="1">WORKDAY(Inputs!$B$3, ROUND(C1881, 0),Sheet2!$A$2:$A$21)</f>
        <v>46269</v>
      </c>
    </row>
    <row r="1882" spans="1:4" x14ac:dyDescent="0.25">
      <c r="A1882" s="42">
        <f t="shared" si="31"/>
        <v>1881</v>
      </c>
      <c r="B1882" s="42" cm="1">
        <f t="array" aca="1" ref="B1882" ca="1">INDEX(Historical!$A$1:$A$18, RANDBETWEEN(1, COUNTA(Historical!$A$1:$A$18)))</f>
        <v>1.290909090909091</v>
      </c>
      <c r="C1882" s="42">
        <f ca="1">Inputs!$B$2/B1882</f>
        <v>173.52112676056336</v>
      </c>
      <c r="D1882" s="43">
        <f ca="1">WORKDAY(Inputs!$B$3, ROUND(C1882, 0),Sheet2!$A$2:$A$21)</f>
        <v>46273</v>
      </c>
    </row>
    <row r="1883" spans="1:4" x14ac:dyDescent="0.25">
      <c r="A1883" s="42">
        <f t="shared" si="31"/>
        <v>1882</v>
      </c>
      <c r="B1883" s="42" cm="1">
        <f t="array" aca="1" ref="B1883" ca="1">INDEX(Historical!$A$1:$A$18, RANDBETWEEN(1, COUNTA(Historical!$A$1:$A$18)))</f>
        <v>1.4761904761904763</v>
      </c>
      <c r="C1883" s="42">
        <f ca="1">Inputs!$B$2/B1883</f>
        <v>151.74193548387095</v>
      </c>
      <c r="D1883" s="43">
        <f ca="1">WORKDAY(Inputs!$B$3, ROUND(C1883, 0),Sheet2!$A$2:$A$21)</f>
        <v>46240</v>
      </c>
    </row>
    <row r="1884" spans="1:4" x14ac:dyDescent="0.25">
      <c r="A1884" s="42">
        <f t="shared" si="31"/>
        <v>1883</v>
      </c>
      <c r="B1884" s="42" cm="1">
        <f t="array" aca="1" ref="B1884" ca="1">INDEX(Historical!$A$1:$A$18, RANDBETWEEN(1, COUNTA(Historical!$A$1:$A$18)))</f>
        <v>1.3214285714285714</v>
      </c>
      <c r="C1884" s="42">
        <f ca="1">Inputs!$B$2/B1884</f>
        <v>169.51351351351352</v>
      </c>
      <c r="D1884" s="43">
        <f ca="1">WORKDAY(Inputs!$B$3, ROUND(C1884, 0),Sheet2!$A$2:$A$21)</f>
        <v>46266</v>
      </c>
    </row>
    <row r="1885" spans="1:4" x14ac:dyDescent="0.25">
      <c r="A1885" s="42">
        <f t="shared" si="31"/>
        <v>1884</v>
      </c>
      <c r="B1885" s="42" cm="1">
        <f t="array" aca="1" ref="B1885" ca="1">INDEX(Historical!$A$1:$A$18, RANDBETWEEN(1, COUNTA(Historical!$A$1:$A$18)))</f>
        <v>1.3707865168539326</v>
      </c>
      <c r="C1885" s="42">
        <f ca="1">Inputs!$B$2/B1885</f>
        <v>163.40983606557376</v>
      </c>
      <c r="D1885" s="43">
        <f ca="1">WORKDAY(Inputs!$B$3, ROUND(C1885, 0),Sheet2!$A$2:$A$21)</f>
        <v>46255</v>
      </c>
    </row>
    <row r="1886" spans="1:4" x14ac:dyDescent="0.25">
      <c r="A1886" s="42">
        <f t="shared" si="31"/>
        <v>1885</v>
      </c>
      <c r="B1886" s="42" cm="1">
        <f t="array" aca="1" ref="B1886" ca="1">INDEX(Historical!$A$1:$A$18, RANDBETWEEN(1, COUNTA(Historical!$A$1:$A$18)))</f>
        <v>1.3157894736842106</v>
      </c>
      <c r="C1886" s="42">
        <f ca="1">Inputs!$B$2/B1886</f>
        <v>170.23999999999998</v>
      </c>
      <c r="D1886" s="43">
        <f ca="1">WORKDAY(Inputs!$B$3, ROUND(C1886, 0),Sheet2!$A$2:$A$21)</f>
        <v>46266</v>
      </c>
    </row>
    <row r="1887" spans="1:4" x14ac:dyDescent="0.25">
      <c r="A1887" s="42">
        <f t="shared" si="31"/>
        <v>1886</v>
      </c>
      <c r="B1887" s="42" cm="1">
        <f t="array" aca="1" ref="B1887" ca="1">INDEX(Historical!$A$1:$A$18, RANDBETWEEN(1, COUNTA(Historical!$A$1:$A$18)))</f>
        <v>1.4038461538461537</v>
      </c>
      <c r="C1887" s="42">
        <f ca="1">Inputs!$B$2/B1887</f>
        <v>159.56164383561645</v>
      </c>
      <c r="D1887" s="43">
        <f ca="1">WORKDAY(Inputs!$B$3, ROUND(C1887, 0),Sheet2!$A$2:$A$21)</f>
        <v>46252</v>
      </c>
    </row>
    <row r="1888" spans="1:4" x14ac:dyDescent="0.25">
      <c r="A1888" s="42">
        <f t="shared" si="31"/>
        <v>1887</v>
      </c>
      <c r="B1888" s="42" cm="1">
        <f t="array" aca="1" ref="B1888" ca="1">INDEX(Historical!$A$1:$A$18, RANDBETWEEN(1, COUNTA(Historical!$A$1:$A$18)))</f>
        <v>1.375</v>
      </c>
      <c r="C1888" s="42">
        <f ca="1">Inputs!$B$2/B1888</f>
        <v>162.90909090909091</v>
      </c>
      <c r="D1888" s="43">
        <f ca="1">WORKDAY(Inputs!$B$3, ROUND(C1888, 0),Sheet2!$A$2:$A$21)</f>
        <v>46255</v>
      </c>
    </row>
    <row r="1889" spans="1:4" x14ac:dyDescent="0.25">
      <c r="A1889" s="42">
        <f t="shared" si="31"/>
        <v>1888</v>
      </c>
      <c r="B1889" s="42" cm="1">
        <f t="array" aca="1" ref="B1889" ca="1">INDEX(Historical!$A$1:$A$18, RANDBETWEEN(1, COUNTA(Historical!$A$1:$A$18)))</f>
        <v>1.4347826086956521</v>
      </c>
      <c r="C1889" s="42">
        <f ca="1">Inputs!$B$2/B1889</f>
        <v>156.12121212121212</v>
      </c>
      <c r="D1889" s="43">
        <f ca="1">WORKDAY(Inputs!$B$3, ROUND(C1889, 0),Sheet2!$A$2:$A$21)</f>
        <v>46246</v>
      </c>
    </row>
    <row r="1890" spans="1:4" x14ac:dyDescent="0.25">
      <c r="A1890" s="42">
        <f t="shared" si="31"/>
        <v>1889</v>
      </c>
      <c r="B1890" s="42" cm="1">
        <f t="array" aca="1" ref="B1890" ca="1">INDEX(Historical!$A$1:$A$18, RANDBETWEEN(1, COUNTA(Historical!$A$1:$A$18)))</f>
        <v>1.3214285714285714</v>
      </c>
      <c r="C1890" s="42">
        <f ca="1">Inputs!$B$2/B1890</f>
        <v>169.51351351351352</v>
      </c>
      <c r="D1890" s="43">
        <f ca="1">WORKDAY(Inputs!$B$3, ROUND(C1890, 0),Sheet2!$A$2:$A$21)</f>
        <v>46266</v>
      </c>
    </row>
    <row r="1891" spans="1:4" x14ac:dyDescent="0.25">
      <c r="A1891" s="42">
        <f t="shared" si="31"/>
        <v>1890</v>
      </c>
      <c r="B1891" s="42" cm="1">
        <f t="array" aca="1" ref="B1891" ca="1">INDEX(Historical!$A$1:$A$18, RANDBETWEEN(1, COUNTA(Historical!$A$1:$A$18)))</f>
        <v>1.3692307692307693</v>
      </c>
      <c r="C1891" s="42">
        <f ca="1">Inputs!$B$2/B1891</f>
        <v>163.59550561797752</v>
      </c>
      <c r="D1891" s="43">
        <f ca="1">WORKDAY(Inputs!$B$3, ROUND(C1891, 0),Sheet2!$A$2:$A$21)</f>
        <v>46258</v>
      </c>
    </row>
    <row r="1892" spans="1:4" x14ac:dyDescent="0.25">
      <c r="A1892" s="42">
        <f t="shared" si="31"/>
        <v>1891</v>
      </c>
      <c r="B1892" s="42" cm="1">
        <f t="array" aca="1" ref="B1892" ca="1">INDEX(Historical!$A$1:$A$18, RANDBETWEEN(1, COUNTA(Historical!$A$1:$A$18)))</f>
        <v>1.3692307692307693</v>
      </c>
      <c r="C1892" s="42">
        <f ca="1">Inputs!$B$2/B1892</f>
        <v>163.59550561797752</v>
      </c>
      <c r="D1892" s="43">
        <f ca="1">WORKDAY(Inputs!$B$3, ROUND(C1892, 0),Sheet2!$A$2:$A$21)</f>
        <v>46258</v>
      </c>
    </row>
    <row r="1893" spans="1:4" x14ac:dyDescent="0.25">
      <c r="A1893" s="42">
        <f t="shared" si="31"/>
        <v>1892</v>
      </c>
      <c r="B1893" s="42" cm="1">
        <f t="array" aca="1" ref="B1893" ca="1">INDEX(Historical!$A$1:$A$18, RANDBETWEEN(1, COUNTA(Historical!$A$1:$A$18)))</f>
        <v>1.4761904761904763</v>
      </c>
      <c r="C1893" s="42">
        <f ca="1">Inputs!$B$2/B1893</f>
        <v>151.74193548387095</v>
      </c>
      <c r="D1893" s="43">
        <f ca="1">WORKDAY(Inputs!$B$3, ROUND(C1893, 0),Sheet2!$A$2:$A$21)</f>
        <v>46240</v>
      </c>
    </row>
    <row r="1894" spans="1:4" x14ac:dyDescent="0.25">
      <c r="A1894" s="42">
        <f t="shared" si="31"/>
        <v>1893</v>
      </c>
      <c r="B1894" s="42" cm="1">
        <f t="array" aca="1" ref="B1894" ca="1">INDEX(Historical!$A$1:$A$18, RANDBETWEEN(1, COUNTA(Historical!$A$1:$A$18)))</f>
        <v>1.3611111111111112</v>
      </c>
      <c r="C1894" s="42">
        <f ca="1">Inputs!$B$2/B1894</f>
        <v>164.57142857142856</v>
      </c>
      <c r="D1894" s="43">
        <f ca="1">WORKDAY(Inputs!$B$3, ROUND(C1894, 0),Sheet2!$A$2:$A$21)</f>
        <v>46259</v>
      </c>
    </row>
    <row r="1895" spans="1:4" x14ac:dyDescent="0.25">
      <c r="A1895" s="42">
        <f t="shared" si="31"/>
        <v>1894</v>
      </c>
      <c r="B1895" s="42" cm="1">
        <f t="array" aca="1" ref="B1895" ca="1">INDEX(Historical!$A$1:$A$18, RANDBETWEEN(1, COUNTA(Historical!$A$1:$A$18)))</f>
        <v>1.290909090909091</v>
      </c>
      <c r="C1895" s="42">
        <f ca="1">Inputs!$B$2/B1895</f>
        <v>173.52112676056336</v>
      </c>
      <c r="D1895" s="43">
        <f ca="1">WORKDAY(Inputs!$B$3, ROUND(C1895, 0),Sheet2!$A$2:$A$21)</f>
        <v>46273</v>
      </c>
    </row>
    <row r="1896" spans="1:4" x14ac:dyDescent="0.25">
      <c r="A1896" s="42">
        <f t="shared" si="31"/>
        <v>1895</v>
      </c>
      <c r="B1896" s="42" cm="1">
        <f t="array" aca="1" ref="B1896" ca="1">INDEX(Historical!$A$1:$A$18, RANDBETWEEN(1, COUNTA(Historical!$A$1:$A$18)))</f>
        <v>1.2941176470588236</v>
      </c>
      <c r="C1896" s="42">
        <f ca="1">Inputs!$B$2/B1896</f>
        <v>173.09090909090909</v>
      </c>
      <c r="D1896" s="43">
        <f ca="1">WORKDAY(Inputs!$B$3, ROUND(C1896, 0),Sheet2!$A$2:$A$21)</f>
        <v>46269</v>
      </c>
    </row>
    <row r="1897" spans="1:4" x14ac:dyDescent="0.25">
      <c r="A1897" s="42">
        <f t="shared" si="31"/>
        <v>1896</v>
      </c>
      <c r="B1897" s="42" cm="1">
        <f t="array" aca="1" ref="B1897" ca="1">INDEX(Historical!$A$1:$A$18, RANDBETWEEN(1, COUNTA(Historical!$A$1:$A$18)))</f>
        <v>1.1666666666666667</v>
      </c>
      <c r="C1897" s="42">
        <f ca="1">Inputs!$B$2/B1897</f>
        <v>192</v>
      </c>
      <c r="D1897" s="43">
        <f ca="1">WORKDAY(Inputs!$B$3, ROUND(C1897, 0),Sheet2!$A$2:$A$21)</f>
        <v>46297</v>
      </c>
    </row>
    <row r="1898" spans="1:4" x14ac:dyDescent="0.25">
      <c r="A1898" s="42">
        <f t="shared" si="31"/>
        <v>1897</v>
      </c>
      <c r="B1898" s="42" cm="1">
        <f t="array" aca="1" ref="B1898" ca="1">INDEX(Historical!$A$1:$A$18, RANDBETWEEN(1, COUNTA(Historical!$A$1:$A$18)))</f>
        <v>1.4038461538461537</v>
      </c>
      <c r="C1898" s="42">
        <f ca="1">Inputs!$B$2/B1898</f>
        <v>159.56164383561645</v>
      </c>
      <c r="D1898" s="43">
        <f ca="1">WORKDAY(Inputs!$B$3, ROUND(C1898, 0),Sheet2!$A$2:$A$21)</f>
        <v>46252</v>
      </c>
    </row>
    <row r="1899" spans="1:4" x14ac:dyDescent="0.25">
      <c r="A1899" s="42">
        <f t="shared" si="31"/>
        <v>1898</v>
      </c>
      <c r="B1899" s="42" cm="1">
        <f t="array" aca="1" ref="B1899" ca="1">INDEX(Historical!$A$1:$A$18, RANDBETWEEN(1, COUNTA(Historical!$A$1:$A$18)))</f>
        <v>1.368421052631579</v>
      </c>
      <c r="C1899" s="42">
        <f ca="1">Inputs!$B$2/B1899</f>
        <v>163.69230769230768</v>
      </c>
      <c r="D1899" s="43">
        <f ca="1">WORKDAY(Inputs!$B$3, ROUND(C1899, 0),Sheet2!$A$2:$A$21)</f>
        <v>46258</v>
      </c>
    </row>
    <row r="1900" spans="1:4" x14ac:dyDescent="0.25">
      <c r="A1900" s="42">
        <f t="shared" si="31"/>
        <v>1899</v>
      </c>
      <c r="B1900" s="42" cm="1">
        <f t="array" aca="1" ref="B1900" ca="1">INDEX(Historical!$A$1:$A$18, RANDBETWEEN(1, COUNTA(Historical!$A$1:$A$18)))</f>
        <v>1.4038461538461537</v>
      </c>
      <c r="C1900" s="42">
        <f ca="1">Inputs!$B$2/B1900</f>
        <v>159.56164383561645</v>
      </c>
      <c r="D1900" s="43">
        <f ca="1">WORKDAY(Inputs!$B$3, ROUND(C1900, 0),Sheet2!$A$2:$A$21)</f>
        <v>46252</v>
      </c>
    </row>
    <row r="1901" spans="1:4" x14ac:dyDescent="0.25">
      <c r="A1901" s="42">
        <f t="shared" si="31"/>
        <v>1900</v>
      </c>
      <c r="B1901" s="42" cm="1">
        <f t="array" aca="1" ref="B1901" ca="1">INDEX(Historical!$A$1:$A$18, RANDBETWEEN(1, COUNTA(Historical!$A$1:$A$18)))</f>
        <v>1.4137931034482758</v>
      </c>
      <c r="C1901" s="42">
        <f ca="1">Inputs!$B$2/B1901</f>
        <v>158.4390243902439</v>
      </c>
      <c r="D1901" s="43">
        <f ca="1">WORKDAY(Inputs!$B$3, ROUND(C1901, 0),Sheet2!$A$2:$A$21)</f>
        <v>46248</v>
      </c>
    </row>
    <row r="1902" spans="1:4" x14ac:dyDescent="0.25">
      <c r="A1902" s="42">
        <f t="shared" si="31"/>
        <v>1901</v>
      </c>
      <c r="B1902" s="42" cm="1">
        <f t="array" aca="1" ref="B1902" ca="1">INDEX(Historical!$A$1:$A$18, RANDBETWEEN(1, COUNTA(Historical!$A$1:$A$18)))</f>
        <v>1.1666666666666667</v>
      </c>
      <c r="C1902" s="42">
        <f ca="1">Inputs!$B$2/B1902</f>
        <v>192</v>
      </c>
      <c r="D1902" s="43">
        <f ca="1">WORKDAY(Inputs!$B$3, ROUND(C1902, 0),Sheet2!$A$2:$A$21)</f>
        <v>46297</v>
      </c>
    </row>
    <row r="1903" spans="1:4" x14ac:dyDescent="0.25">
      <c r="A1903" s="42">
        <f t="shared" si="31"/>
        <v>1902</v>
      </c>
      <c r="B1903" s="42" cm="1">
        <f t="array" aca="1" ref="B1903" ca="1">INDEX(Historical!$A$1:$A$18, RANDBETWEEN(1, COUNTA(Historical!$A$1:$A$18)))</f>
        <v>1.3617021276595744</v>
      </c>
      <c r="C1903" s="42">
        <f ca="1">Inputs!$B$2/B1903</f>
        <v>164.5</v>
      </c>
      <c r="D1903" s="43">
        <f ca="1">WORKDAY(Inputs!$B$3, ROUND(C1903, 0),Sheet2!$A$2:$A$21)</f>
        <v>46259</v>
      </c>
    </row>
    <row r="1904" spans="1:4" x14ac:dyDescent="0.25">
      <c r="A1904" s="42">
        <f t="shared" si="31"/>
        <v>1903</v>
      </c>
      <c r="B1904" s="42" cm="1">
        <f t="array" aca="1" ref="B1904" ca="1">INDEX(Historical!$A$1:$A$18, RANDBETWEEN(1, COUNTA(Historical!$A$1:$A$18)))</f>
        <v>1.375</v>
      </c>
      <c r="C1904" s="42">
        <f ca="1">Inputs!$B$2/B1904</f>
        <v>162.90909090909091</v>
      </c>
      <c r="D1904" s="43">
        <f ca="1">WORKDAY(Inputs!$B$3, ROUND(C1904, 0),Sheet2!$A$2:$A$21)</f>
        <v>46255</v>
      </c>
    </row>
    <row r="1905" spans="1:4" x14ac:dyDescent="0.25">
      <c r="A1905" s="42">
        <f t="shared" si="31"/>
        <v>1904</v>
      </c>
      <c r="B1905" s="42" cm="1">
        <f t="array" aca="1" ref="B1905" ca="1">INDEX(Historical!$A$1:$A$18, RANDBETWEEN(1, COUNTA(Historical!$A$1:$A$18)))</f>
        <v>1.3214285714285714</v>
      </c>
      <c r="C1905" s="42">
        <f ca="1">Inputs!$B$2/B1905</f>
        <v>169.51351351351352</v>
      </c>
      <c r="D1905" s="43">
        <f ca="1">WORKDAY(Inputs!$B$3, ROUND(C1905, 0),Sheet2!$A$2:$A$21)</f>
        <v>46266</v>
      </c>
    </row>
    <row r="1906" spans="1:4" x14ac:dyDescent="0.25">
      <c r="A1906" s="42">
        <f t="shared" si="31"/>
        <v>1905</v>
      </c>
      <c r="B1906" s="42" cm="1">
        <f t="array" aca="1" ref="B1906" ca="1">INDEX(Historical!$A$1:$A$18, RANDBETWEEN(1, COUNTA(Historical!$A$1:$A$18)))</f>
        <v>1.4761904761904763</v>
      </c>
      <c r="C1906" s="42">
        <f ca="1">Inputs!$B$2/B1906</f>
        <v>151.74193548387095</v>
      </c>
      <c r="D1906" s="43">
        <f ca="1">WORKDAY(Inputs!$B$3, ROUND(C1906, 0),Sheet2!$A$2:$A$21)</f>
        <v>46240</v>
      </c>
    </row>
    <row r="1907" spans="1:4" x14ac:dyDescent="0.25">
      <c r="A1907" s="42">
        <f t="shared" si="31"/>
        <v>1906</v>
      </c>
      <c r="B1907" s="42" cm="1">
        <f t="array" aca="1" ref="B1907" ca="1">INDEX(Historical!$A$1:$A$18, RANDBETWEEN(1, COUNTA(Historical!$A$1:$A$18)))</f>
        <v>1.5</v>
      </c>
      <c r="C1907" s="42">
        <f ca="1">Inputs!$B$2/B1907</f>
        <v>149.33333333333334</v>
      </c>
      <c r="D1907" s="43">
        <f ca="1">WORKDAY(Inputs!$B$3, ROUND(C1907, 0),Sheet2!$A$2:$A$21)</f>
        <v>46237</v>
      </c>
    </row>
    <row r="1908" spans="1:4" x14ac:dyDescent="0.25">
      <c r="A1908" s="42">
        <f t="shared" si="31"/>
        <v>1907</v>
      </c>
      <c r="B1908" s="42" cm="1">
        <f t="array" aca="1" ref="B1908" ca="1">INDEX(Historical!$A$1:$A$18, RANDBETWEEN(1, COUNTA(Historical!$A$1:$A$18)))</f>
        <v>1.290909090909091</v>
      </c>
      <c r="C1908" s="42">
        <f ca="1">Inputs!$B$2/B1908</f>
        <v>173.52112676056336</v>
      </c>
      <c r="D1908" s="43">
        <f ca="1">WORKDAY(Inputs!$B$3, ROUND(C1908, 0),Sheet2!$A$2:$A$21)</f>
        <v>46273</v>
      </c>
    </row>
    <row r="1909" spans="1:4" x14ac:dyDescent="0.25">
      <c r="A1909" s="42">
        <f t="shared" si="31"/>
        <v>1908</v>
      </c>
      <c r="B1909" s="42" cm="1">
        <f t="array" aca="1" ref="B1909" ca="1">INDEX(Historical!$A$1:$A$18, RANDBETWEEN(1, COUNTA(Historical!$A$1:$A$18)))</f>
        <v>1.3707865168539326</v>
      </c>
      <c r="C1909" s="42">
        <f ca="1">Inputs!$B$2/B1909</f>
        <v>163.40983606557376</v>
      </c>
      <c r="D1909" s="43">
        <f ca="1">WORKDAY(Inputs!$B$3, ROUND(C1909, 0),Sheet2!$A$2:$A$21)</f>
        <v>46255</v>
      </c>
    </row>
    <row r="1910" spans="1:4" x14ac:dyDescent="0.25">
      <c r="A1910" s="42">
        <f t="shared" si="31"/>
        <v>1909</v>
      </c>
      <c r="B1910" s="42" cm="1">
        <f t="array" aca="1" ref="B1910" ca="1">INDEX(Historical!$A$1:$A$18, RANDBETWEEN(1, COUNTA(Historical!$A$1:$A$18)))</f>
        <v>1.2941176470588236</v>
      </c>
      <c r="C1910" s="42">
        <f ca="1">Inputs!$B$2/B1910</f>
        <v>173.09090909090909</v>
      </c>
      <c r="D1910" s="43">
        <f ca="1">WORKDAY(Inputs!$B$3, ROUND(C1910, 0),Sheet2!$A$2:$A$21)</f>
        <v>46269</v>
      </c>
    </row>
    <row r="1911" spans="1:4" x14ac:dyDescent="0.25">
      <c r="A1911" s="42">
        <f t="shared" si="31"/>
        <v>1910</v>
      </c>
      <c r="B1911" s="42" cm="1">
        <f t="array" aca="1" ref="B1911" ca="1">INDEX(Historical!$A$1:$A$18, RANDBETWEEN(1, COUNTA(Historical!$A$1:$A$18)))</f>
        <v>1.4761904761904763</v>
      </c>
      <c r="C1911" s="42">
        <f ca="1">Inputs!$B$2/B1911</f>
        <v>151.74193548387095</v>
      </c>
      <c r="D1911" s="43">
        <f ca="1">WORKDAY(Inputs!$B$3, ROUND(C1911, 0),Sheet2!$A$2:$A$21)</f>
        <v>46240</v>
      </c>
    </row>
    <row r="1912" spans="1:4" x14ac:dyDescent="0.25">
      <c r="A1912" s="42">
        <f t="shared" si="31"/>
        <v>1911</v>
      </c>
      <c r="B1912" s="42" cm="1">
        <f t="array" aca="1" ref="B1912" ca="1">INDEX(Historical!$A$1:$A$18, RANDBETWEEN(1, COUNTA(Historical!$A$1:$A$18)))</f>
        <v>1.3707865168539326</v>
      </c>
      <c r="C1912" s="42">
        <f ca="1">Inputs!$B$2/B1912</f>
        <v>163.40983606557376</v>
      </c>
      <c r="D1912" s="43">
        <f ca="1">WORKDAY(Inputs!$B$3, ROUND(C1912, 0),Sheet2!$A$2:$A$21)</f>
        <v>46255</v>
      </c>
    </row>
    <row r="1913" spans="1:4" x14ac:dyDescent="0.25">
      <c r="A1913" s="42">
        <f t="shared" si="31"/>
        <v>1912</v>
      </c>
      <c r="B1913" s="42" cm="1">
        <f t="array" aca="1" ref="B1913" ca="1">INDEX(Historical!$A$1:$A$18, RANDBETWEEN(1, COUNTA(Historical!$A$1:$A$18)))</f>
        <v>1.3157894736842106</v>
      </c>
      <c r="C1913" s="42">
        <f ca="1">Inputs!$B$2/B1913</f>
        <v>170.23999999999998</v>
      </c>
      <c r="D1913" s="43">
        <f ca="1">WORKDAY(Inputs!$B$3, ROUND(C1913, 0),Sheet2!$A$2:$A$21)</f>
        <v>46266</v>
      </c>
    </row>
    <row r="1914" spans="1:4" x14ac:dyDescent="0.25">
      <c r="A1914" s="42">
        <f t="shared" si="31"/>
        <v>1913</v>
      </c>
      <c r="B1914" s="42" cm="1">
        <f t="array" aca="1" ref="B1914" ca="1">INDEX(Historical!$A$1:$A$18, RANDBETWEEN(1, COUNTA(Historical!$A$1:$A$18)))</f>
        <v>1.1666666666666667</v>
      </c>
      <c r="C1914" s="42">
        <f ca="1">Inputs!$B$2/B1914</f>
        <v>192</v>
      </c>
      <c r="D1914" s="43">
        <f ca="1">WORKDAY(Inputs!$B$3, ROUND(C1914, 0),Sheet2!$A$2:$A$21)</f>
        <v>46297</v>
      </c>
    </row>
    <row r="1915" spans="1:4" x14ac:dyDescent="0.25">
      <c r="A1915" s="42">
        <f t="shared" si="31"/>
        <v>1914</v>
      </c>
      <c r="B1915" s="42" cm="1">
        <f t="array" aca="1" ref="B1915" ca="1">INDEX(Historical!$A$1:$A$18, RANDBETWEEN(1, COUNTA(Historical!$A$1:$A$18)))</f>
        <v>1.290909090909091</v>
      </c>
      <c r="C1915" s="42">
        <f ca="1">Inputs!$B$2/B1915</f>
        <v>173.52112676056336</v>
      </c>
      <c r="D1915" s="43">
        <f ca="1">WORKDAY(Inputs!$B$3, ROUND(C1915, 0),Sheet2!$A$2:$A$21)</f>
        <v>46273</v>
      </c>
    </row>
    <row r="1916" spans="1:4" x14ac:dyDescent="0.25">
      <c r="A1916" s="42">
        <f t="shared" si="31"/>
        <v>1915</v>
      </c>
      <c r="B1916" s="42" cm="1">
        <f t="array" aca="1" ref="B1916" ca="1">INDEX(Historical!$A$1:$A$18, RANDBETWEEN(1, COUNTA(Historical!$A$1:$A$18)))</f>
        <v>1.3157894736842106</v>
      </c>
      <c r="C1916" s="42">
        <f ca="1">Inputs!$B$2/B1916</f>
        <v>170.23999999999998</v>
      </c>
      <c r="D1916" s="43">
        <f ca="1">WORKDAY(Inputs!$B$3, ROUND(C1916, 0),Sheet2!$A$2:$A$21)</f>
        <v>46266</v>
      </c>
    </row>
    <row r="1917" spans="1:4" x14ac:dyDescent="0.25">
      <c r="A1917" s="42">
        <f t="shared" si="31"/>
        <v>1916</v>
      </c>
      <c r="B1917" s="42" cm="1">
        <f t="array" aca="1" ref="B1917" ca="1">INDEX(Historical!$A$1:$A$18, RANDBETWEEN(1, COUNTA(Historical!$A$1:$A$18)))</f>
        <v>1.5</v>
      </c>
      <c r="C1917" s="42">
        <f ca="1">Inputs!$B$2/B1917</f>
        <v>149.33333333333334</v>
      </c>
      <c r="D1917" s="43">
        <f ca="1">WORKDAY(Inputs!$B$3, ROUND(C1917, 0),Sheet2!$A$2:$A$21)</f>
        <v>46237</v>
      </c>
    </row>
    <row r="1918" spans="1:4" x14ac:dyDescent="0.25">
      <c r="A1918" s="42">
        <f t="shared" si="31"/>
        <v>1917</v>
      </c>
      <c r="B1918" s="42" cm="1">
        <f t="array" aca="1" ref="B1918" ca="1">INDEX(Historical!$A$1:$A$18, RANDBETWEEN(1, COUNTA(Historical!$A$1:$A$18)))</f>
        <v>1.290909090909091</v>
      </c>
      <c r="C1918" s="42">
        <f ca="1">Inputs!$B$2/B1918</f>
        <v>173.52112676056336</v>
      </c>
      <c r="D1918" s="43">
        <f ca="1">WORKDAY(Inputs!$B$3, ROUND(C1918, 0),Sheet2!$A$2:$A$21)</f>
        <v>46273</v>
      </c>
    </row>
    <row r="1919" spans="1:4" x14ac:dyDescent="0.25">
      <c r="A1919" s="42">
        <f t="shared" si="31"/>
        <v>1918</v>
      </c>
      <c r="B1919" s="42" cm="1">
        <f t="array" aca="1" ref="B1919" ca="1">INDEX(Historical!$A$1:$A$18, RANDBETWEEN(1, COUNTA(Historical!$A$1:$A$18)))</f>
        <v>1.375</v>
      </c>
      <c r="C1919" s="42">
        <f ca="1">Inputs!$B$2/B1919</f>
        <v>162.90909090909091</v>
      </c>
      <c r="D1919" s="43">
        <f ca="1">WORKDAY(Inputs!$B$3, ROUND(C1919, 0),Sheet2!$A$2:$A$21)</f>
        <v>46255</v>
      </c>
    </row>
    <row r="1920" spans="1:4" x14ac:dyDescent="0.25">
      <c r="A1920" s="42">
        <f t="shared" si="31"/>
        <v>1919</v>
      </c>
      <c r="B1920" s="42" cm="1">
        <f t="array" aca="1" ref="B1920" ca="1">INDEX(Historical!$A$1:$A$18, RANDBETWEEN(1, COUNTA(Historical!$A$1:$A$18)))</f>
        <v>1.4137931034482758</v>
      </c>
      <c r="C1920" s="42">
        <f ca="1">Inputs!$B$2/B1920</f>
        <v>158.4390243902439</v>
      </c>
      <c r="D1920" s="43">
        <f ca="1">WORKDAY(Inputs!$B$3, ROUND(C1920, 0),Sheet2!$A$2:$A$21)</f>
        <v>46248</v>
      </c>
    </row>
    <row r="1921" spans="1:4" x14ac:dyDescent="0.25">
      <c r="A1921" s="42">
        <f t="shared" si="31"/>
        <v>1920</v>
      </c>
      <c r="B1921" s="42" cm="1">
        <f t="array" aca="1" ref="B1921" ca="1">INDEX(Historical!$A$1:$A$18, RANDBETWEEN(1, COUNTA(Historical!$A$1:$A$18)))</f>
        <v>1.3707865168539326</v>
      </c>
      <c r="C1921" s="42">
        <f ca="1">Inputs!$B$2/B1921</f>
        <v>163.40983606557376</v>
      </c>
      <c r="D1921" s="43">
        <f ca="1">WORKDAY(Inputs!$B$3, ROUND(C1921, 0),Sheet2!$A$2:$A$21)</f>
        <v>46255</v>
      </c>
    </row>
    <row r="1922" spans="1:4" x14ac:dyDescent="0.25">
      <c r="A1922" s="42">
        <f t="shared" si="31"/>
        <v>1921</v>
      </c>
      <c r="B1922" s="42" cm="1">
        <f t="array" aca="1" ref="B1922" ca="1">INDEX(Historical!$A$1:$A$18, RANDBETWEEN(1, COUNTA(Historical!$A$1:$A$18)))</f>
        <v>1.290909090909091</v>
      </c>
      <c r="C1922" s="42">
        <f ca="1">Inputs!$B$2/B1922</f>
        <v>173.52112676056336</v>
      </c>
      <c r="D1922" s="43">
        <f ca="1">WORKDAY(Inputs!$B$3, ROUND(C1922, 0),Sheet2!$A$2:$A$21)</f>
        <v>46273</v>
      </c>
    </row>
    <row r="1923" spans="1:4" x14ac:dyDescent="0.25">
      <c r="A1923" s="42">
        <f t="shared" ref="A1923:A1986" si="32">ROW()-1</f>
        <v>1922</v>
      </c>
      <c r="B1923" s="42" cm="1">
        <f t="array" aca="1" ref="B1923" ca="1">INDEX(Historical!$A$1:$A$18, RANDBETWEEN(1, COUNTA(Historical!$A$1:$A$18)))</f>
        <v>1.3611111111111112</v>
      </c>
      <c r="C1923" s="42">
        <f ca="1">Inputs!$B$2/B1923</f>
        <v>164.57142857142856</v>
      </c>
      <c r="D1923" s="43">
        <f ca="1">WORKDAY(Inputs!$B$3, ROUND(C1923, 0),Sheet2!$A$2:$A$21)</f>
        <v>46259</v>
      </c>
    </row>
    <row r="1924" spans="1:4" x14ac:dyDescent="0.25">
      <c r="A1924" s="42">
        <f t="shared" si="32"/>
        <v>1923</v>
      </c>
      <c r="B1924" s="42" cm="1">
        <f t="array" aca="1" ref="B1924" ca="1">INDEX(Historical!$A$1:$A$18, RANDBETWEEN(1, COUNTA(Historical!$A$1:$A$18)))</f>
        <v>1.375</v>
      </c>
      <c r="C1924" s="42">
        <f ca="1">Inputs!$B$2/B1924</f>
        <v>162.90909090909091</v>
      </c>
      <c r="D1924" s="43">
        <f ca="1">WORKDAY(Inputs!$B$3, ROUND(C1924, 0),Sheet2!$A$2:$A$21)</f>
        <v>46255</v>
      </c>
    </row>
    <row r="1925" spans="1:4" x14ac:dyDescent="0.25">
      <c r="A1925" s="42">
        <f t="shared" si="32"/>
        <v>1924</v>
      </c>
      <c r="B1925" s="42" cm="1">
        <f t="array" aca="1" ref="B1925" ca="1">INDEX(Historical!$A$1:$A$18, RANDBETWEEN(1, COUNTA(Historical!$A$1:$A$18)))</f>
        <v>1.4761904761904763</v>
      </c>
      <c r="C1925" s="42">
        <f ca="1">Inputs!$B$2/B1925</f>
        <v>151.74193548387095</v>
      </c>
      <c r="D1925" s="43">
        <f ca="1">WORKDAY(Inputs!$B$3, ROUND(C1925, 0),Sheet2!$A$2:$A$21)</f>
        <v>46240</v>
      </c>
    </row>
    <row r="1926" spans="1:4" x14ac:dyDescent="0.25">
      <c r="A1926" s="42">
        <f t="shared" si="32"/>
        <v>1925</v>
      </c>
      <c r="B1926" s="42" cm="1">
        <f t="array" aca="1" ref="B1926" ca="1">INDEX(Historical!$A$1:$A$18, RANDBETWEEN(1, COUNTA(Historical!$A$1:$A$18)))</f>
        <v>1.3611111111111112</v>
      </c>
      <c r="C1926" s="42">
        <f ca="1">Inputs!$B$2/B1926</f>
        <v>164.57142857142856</v>
      </c>
      <c r="D1926" s="43">
        <f ca="1">WORKDAY(Inputs!$B$3, ROUND(C1926, 0),Sheet2!$A$2:$A$21)</f>
        <v>46259</v>
      </c>
    </row>
    <row r="1927" spans="1:4" x14ac:dyDescent="0.25">
      <c r="A1927" s="42">
        <f t="shared" si="32"/>
        <v>1926</v>
      </c>
      <c r="B1927" s="42" cm="1">
        <f t="array" aca="1" ref="B1927" ca="1">INDEX(Historical!$A$1:$A$18, RANDBETWEEN(1, COUNTA(Historical!$A$1:$A$18)))</f>
        <v>1.3559322033898304</v>
      </c>
      <c r="C1927" s="42">
        <f ca="1">Inputs!$B$2/B1927</f>
        <v>165.20000000000002</v>
      </c>
      <c r="D1927" s="43">
        <f ca="1">WORKDAY(Inputs!$B$3, ROUND(C1927, 0),Sheet2!$A$2:$A$21)</f>
        <v>46259</v>
      </c>
    </row>
    <row r="1928" spans="1:4" x14ac:dyDescent="0.25">
      <c r="A1928" s="42">
        <f t="shared" si="32"/>
        <v>1927</v>
      </c>
      <c r="B1928" s="42" cm="1">
        <f t="array" aca="1" ref="B1928" ca="1">INDEX(Historical!$A$1:$A$18, RANDBETWEEN(1, COUNTA(Historical!$A$1:$A$18)))</f>
        <v>1.3214285714285714</v>
      </c>
      <c r="C1928" s="42">
        <f ca="1">Inputs!$B$2/B1928</f>
        <v>169.51351351351352</v>
      </c>
      <c r="D1928" s="43">
        <f ca="1">WORKDAY(Inputs!$B$3, ROUND(C1928, 0),Sheet2!$A$2:$A$21)</f>
        <v>46266</v>
      </c>
    </row>
    <row r="1929" spans="1:4" x14ac:dyDescent="0.25">
      <c r="A1929" s="42">
        <f t="shared" si="32"/>
        <v>1928</v>
      </c>
      <c r="B1929" s="42" cm="1">
        <f t="array" aca="1" ref="B1929" ca="1">INDEX(Historical!$A$1:$A$18, RANDBETWEEN(1, COUNTA(Historical!$A$1:$A$18)))</f>
        <v>1.4761904761904763</v>
      </c>
      <c r="C1929" s="42">
        <f ca="1">Inputs!$B$2/B1929</f>
        <v>151.74193548387095</v>
      </c>
      <c r="D1929" s="43">
        <f ca="1">WORKDAY(Inputs!$B$3, ROUND(C1929, 0),Sheet2!$A$2:$A$21)</f>
        <v>46240</v>
      </c>
    </row>
    <row r="1930" spans="1:4" x14ac:dyDescent="0.25">
      <c r="A1930" s="42">
        <f t="shared" si="32"/>
        <v>1929</v>
      </c>
      <c r="B1930" s="42" cm="1">
        <f t="array" aca="1" ref="B1930" ca="1">INDEX(Historical!$A$1:$A$18, RANDBETWEEN(1, COUNTA(Historical!$A$1:$A$18)))</f>
        <v>1.1666666666666667</v>
      </c>
      <c r="C1930" s="42">
        <f ca="1">Inputs!$B$2/B1930</f>
        <v>192</v>
      </c>
      <c r="D1930" s="43">
        <f ca="1">WORKDAY(Inputs!$B$3, ROUND(C1930, 0),Sheet2!$A$2:$A$21)</f>
        <v>46297</v>
      </c>
    </row>
    <row r="1931" spans="1:4" x14ac:dyDescent="0.25">
      <c r="A1931" s="42">
        <f t="shared" si="32"/>
        <v>1930</v>
      </c>
      <c r="B1931" s="42" cm="1">
        <f t="array" aca="1" ref="B1931" ca="1">INDEX(Historical!$A$1:$A$18, RANDBETWEEN(1, COUNTA(Historical!$A$1:$A$18)))</f>
        <v>1.4137931034482758</v>
      </c>
      <c r="C1931" s="42">
        <f ca="1">Inputs!$B$2/B1931</f>
        <v>158.4390243902439</v>
      </c>
      <c r="D1931" s="43">
        <f ca="1">WORKDAY(Inputs!$B$3, ROUND(C1931, 0),Sheet2!$A$2:$A$21)</f>
        <v>46248</v>
      </c>
    </row>
    <row r="1932" spans="1:4" x14ac:dyDescent="0.25">
      <c r="A1932" s="42">
        <f t="shared" si="32"/>
        <v>1931</v>
      </c>
      <c r="B1932" s="42" cm="1">
        <f t="array" aca="1" ref="B1932" ca="1">INDEX(Historical!$A$1:$A$18, RANDBETWEEN(1, COUNTA(Historical!$A$1:$A$18)))</f>
        <v>1.368421052631579</v>
      </c>
      <c r="C1932" s="42">
        <f ca="1">Inputs!$B$2/B1932</f>
        <v>163.69230769230768</v>
      </c>
      <c r="D1932" s="43">
        <f ca="1">WORKDAY(Inputs!$B$3, ROUND(C1932, 0),Sheet2!$A$2:$A$21)</f>
        <v>46258</v>
      </c>
    </row>
    <row r="1933" spans="1:4" x14ac:dyDescent="0.25">
      <c r="A1933" s="42">
        <f t="shared" si="32"/>
        <v>1932</v>
      </c>
      <c r="B1933" s="42" cm="1">
        <f t="array" aca="1" ref="B1933" ca="1">INDEX(Historical!$A$1:$A$18, RANDBETWEEN(1, COUNTA(Historical!$A$1:$A$18)))</f>
        <v>1.2941176470588236</v>
      </c>
      <c r="C1933" s="42">
        <f ca="1">Inputs!$B$2/B1933</f>
        <v>173.09090909090909</v>
      </c>
      <c r="D1933" s="43">
        <f ca="1">WORKDAY(Inputs!$B$3, ROUND(C1933, 0),Sheet2!$A$2:$A$21)</f>
        <v>46269</v>
      </c>
    </row>
    <row r="1934" spans="1:4" x14ac:dyDescent="0.25">
      <c r="A1934" s="42">
        <f t="shared" si="32"/>
        <v>1933</v>
      </c>
      <c r="B1934" s="42" cm="1">
        <f t="array" aca="1" ref="B1934" ca="1">INDEX(Historical!$A$1:$A$18, RANDBETWEEN(1, COUNTA(Historical!$A$1:$A$18)))</f>
        <v>1.4347826086956521</v>
      </c>
      <c r="C1934" s="42">
        <f ca="1">Inputs!$B$2/B1934</f>
        <v>156.12121212121212</v>
      </c>
      <c r="D1934" s="43">
        <f ca="1">WORKDAY(Inputs!$B$3, ROUND(C1934, 0),Sheet2!$A$2:$A$21)</f>
        <v>46246</v>
      </c>
    </row>
    <row r="1935" spans="1:4" x14ac:dyDescent="0.25">
      <c r="A1935" s="42">
        <f t="shared" si="32"/>
        <v>1934</v>
      </c>
      <c r="B1935" s="42" cm="1">
        <f t="array" aca="1" ref="B1935" ca="1">INDEX(Historical!$A$1:$A$18, RANDBETWEEN(1, COUNTA(Historical!$A$1:$A$18)))</f>
        <v>1.375</v>
      </c>
      <c r="C1935" s="42">
        <f ca="1">Inputs!$B$2/B1935</f>
        <v>162.90909090909091</v>
      </c>
      <c r="D1935" s="43">
        <f ca="1">WORKDAY(Inputs!$B$3, ROUND(C1935, 0),Sheet2!$A$2:$A$21)</f>
        <v>46255</v>
      </c>
    </row>
    <row r="1936" spans="1:4" x14ac:dyDescent="0.25">
      <c r="A1936" s="42">
        <f t="shared" si="32"/>
        <v>1935</v>
      </c>
      <c r="B1936" s="42" cm="1">
        <f t="array" aca="1" ref="B1936" ca="1">INDEX(Historical!$A$1:$A$18, RANDBETWEEN(1, COUNTA(Historical!$A$1:$A$18)))</f>
        <v>1.3617021276595744</v>
      </c>
      <c r="C1936" s="42">
        <f ca="1">Inputs!$B$2/B1936</f>
        <v>164.5</v>
      </c>
      <c r="D1936" s="43">
        <f ca="1">WORKDAY(Inputs!$B$3, ROUND(C1936, 0),Sheet2!$A$2:$A$21)</f>
        <v>46259</v>
      </c>
    </row>
    <row r="1937" spans="1:4" x14ac:dyDescent="0.25">
      <c r="A1937" s="42">
        <f t="shared" si="32"/>
        <v>1936</v>
      </c>
      <c r="B1937" s="42" cm="1">
        <f t="array" aca="1" ref="B1937" ca="1">INDEX(Historical!$A$1:$A$18, RANDBETWEEN(1, COUNTA(Historical!$A$1:$A$18)))</f>
        <v>1.3559322033898304</v>
      </c>
      <c r="C1937" s="42">
        <f ca="1">Inputs!$B$2/B1937</f>
        <v>165.20000000000002</v>
      </c>
      <c r="D1937" s="43">
        <f ca="1">WORKDAY(Inputs!$B$3, ROUND(C1937, 0),Sheet2!$A$2:$A$21)</f>
        <v>46259</v>
      </c>
    </row>
    <row r="1938" spans="1:4" x14ac:dyDescent="0.25">
      <c r="A1938" s="42">
        <f t="shared" si="32"/>
        <v>1937</v>
      </c>
      <c r="B1938" s="42" cm="1">
        <f t="array" aca="1" ref="B1938" ca="1">INDEX(Historical!$A$1:$A$18, RANDBETWEEN(1, COUNTA(Historical!$A$1:$A$18)))</f>
        <v>1.303030303030303</v>
      </c>
      <c r="C1938" s="42">
        <f ca="1">Inputs!$B$2/B1938</f>
        <v>171.90697674418604</v>
      </c>
      <c r="D1938" s="43">
        <f ca="1">WORKDAY(Inputs!$B$3, ROUND(C1938, 0),Sheet2!$A$2:$A$21)</f>
        <v>46268</v>
      </c>
    </row>
    <row r="1939" spans="1:4" x14ac:dyDescent="0.25">
      <c r="A1939" s="42">
        <f t="shared" si="32"/>
        <v>1938</v>
      </c>
      <c r="B1939" s="42" cm="1">
        <f t="array" aca="1" ref="B1939" ca="1">INDEX(Historical!$A$1:$A$18, RANDBETWEEN(1, COUNTA(Historical!$A$1:$A$18)))</f>
        <v>1.2941176470588236</v>
      </c>
      <c r="C1939" s="42">
        <f ca="1">Inputs!$B$2/B1939</f>
        <v>173.09090909090909</v>
      </c>
      <c r="D1939" s="43">
        <f ca="1">WORKDAY(Inputs!$B$3, ROUND(C1939, 0),Sheet2!$A$2:$A$21)</f>
        <v>46269</v>
      </c>
    </row>
    <row r="1940" spans="1:4" x14ac:dyDescent="0.25">
      <c r="A1940" s="42">
        <f t="shared" si="32"/>
        <v>1939</v>
      </c>
      <c r="B1940" s="42" cm="1">
        <f t="array" aca="1" ref="B1940" ca="1">INDEX(Historical!$A$1:$A$18, RANDBETWEEN(1, COUNTA(Historical!$A$1:$A$18)))</f>
        <v>1.3707865168539326</v>
      </c>
      <c r="C1940" s="42">
        <f ca="1">Inputs!$B$2/B1940</f>
        <v>163.40983606557376</v>
      </c>
      <c r="D1940" s="43">
        <f ca="1">WORKDAY(Inputs!$B$3, ROUND(C1940, 0),Sheet2!$A$2:$A$21)</f>
        <v>46255</v>
      </c>
    </row>
    <row r="1941" spans="1:4" x14ac:dyDescent="0.25">
      <c r="A1941" s="42">
        <f t="shared" si="32"/>
        <v>1940</v>
      </c>
      <c r="B1941" s="42" cm="1">
        <f t="array" aca="1" ref="B1941" ca="1">INDEX(Historical!$A$1:$A$18, RANDBETWEEN(1, COUNTA(Historical!$A$1:$A$18)))</f>
        <v>1.368421052631579</v>
      </c>
      <c r="C1941" s="42">
        <f ca="1">Inputs!$B$2/B1941</f>
        <v>163.69230769230768</v>
      </c>
      <c r="D1941" s="43">
        <f ca="1">WORKDAY(Inputs!$B$3, ROUND(C1941, 0),Sheet2!$A$2:$A$21)</f>
        <v>46258</v>
      </c>
    </row>
    <row r="1942" spans="1:4" x14ac:dyDescent="0.25">
      <c r="A1942" s="42">
        <f t="shared" si="32"/>
        <v>1941</v>
      </c>
      <c r="B1942" s="42" cm="1">
        <f t="array" aca="1" ref="B1942" ca="1">INDEX(Historical!$A$1:$A$18, RANDBETWEEN(1, COUNTA(Historical!$A$1:$A$18)))</f>
        <v>1.368421052631579</v>
      </c>
      <c r="C1942" s="42">
        <f ca="1">Inputs!$B$2/B1942</f>
        <v>163.69230769230768</v>
      </c>
      <c r="D1942" s="43">
        <f ca="1">WORKDAY(Inputs!$B$3, ROUND(C1942, 0),Sheet2!$A$2:$A$21)</f>
        <v>46258</v>
      </c>
    </row>
    <row r="1943" spans="1:4" x14ac:dyDescent="0.25">
      <c r="A1943" s="42">
        <f t="shared" si="32"/>
        <v>1942</v>
      </c>
      <c r="B1943" s="42" cm="1">
        <f t="array" aca="1" ref="B1943" ca="1">INDEX(Historical!$A$1:$A$18, RANDBETWEEN(1, COUNTA(Historical!$A$1:$A$18)))</f>
        <v>1.2941176470588236</v>
      </c>
      <c r="C1943" s="42">
        <f ca="1">Inputs!$B$2/B1943</f>
        <v>173.09090909090909</v>
      </c>
      <c r="D1943" s="43">
        <f ca="1">WORKDAY(Inputs!$B$3, ROUND(C1943, 0),Sheet2!$A$2:$A$21)</f>
        <v>46269</v>
      </c>
    </row>
    <row r="1944" spans="1:4" x14ac:dyDescent="0.25">
      <c r="A1944" s="42">
        <f t="shared" si="32"/>
        <v>1943</v>
      </c>
      <c r="B1944" s="42" cm="1">
        <f t="array" aca="1" ref="B1944" ca="1">INDEX(Historical!$A$1:$A$18, RANDBETWEEN(1, COUNTA(Historical!$A$1:$A$18)))</f>
        <v>1.2941176470588236</v>
      </c>
      <c r="C1944" s="42">
        <f ca="1">Inputs!$B$2/B1944</f>
        <v>173.09090909090909</v>
      </c>
      <c r="D1944" s="43">
        <f ca="1">WORKDAY(Inputs!$B$3, ROUND(C1944, 0),Sheet2!$A$2:$A$21)</f>
        <v>46269</v>
      </c>
    </row>
    <row r="1945" spans="1:4" x14ac:dyDescent="0.25">
      <c r="A1945" s="42">
        <f t="shared" si="32"/>
        <v>1944</v>
      </c>
      <c r="B1945" s="42" cm="1">
        <f t="array" aca="1" ref="B1945" ca="1">INDEX(Historical!$A$1:$A$18, RANDBETWEEN(1, COUNTA(Historical!$A$1:$A$18)))</f>
        <v>1.3214285714285714</v>
      </c>
      <c r="C1945" s="42">
        <f ca="1">Inputs!$B$2/B1945</f>
        <v>169.51351351351352</v>
      </c>
      <c r="D1945" s="43">
        <f ca="1">WORKDAY(Inputs!$B$3, ROUND(C1945, 0),Sheet2!$A$2:$A$21)</f>
        <v>46266</v>
      </c>
    </row>
    <row r="1946" spans="1:4" x14ac:dyDescent="0.25">
      <c r="A1946" s="42">
        <f t="shared" si="32"/>
        <v>1945</v>
      </c>
      <c r="B1946" s="42" cm="1">
        <f t="array" aca="1" ref="B1946" ca="1">INDEX(Historical!$A$1:$A$18, RANDBETWEEN(1, COUNTA(Historical!$A$1:$A$18)))</f>
        <v>1.303030303030303</v>
      </c>
      <c r="C1946" s="42">
        <f ca="1">Inputs!$B$2/B1946</f>
        <v>171.90697674418604</v>
      </c>
      <c r="D1946" s="43">
        <f ca="1">WORKDAY(Inputs!$B$3, ROUND(C1946, 0),Sheet2!$A$2:$A$21)</f>
        <v>46268</v>
      </c>
    </row>
    <row r="1947" spans="1:4" x14ac:dyDescent="0.25">
      <c r="A1947" s="42">
        <f t="shared" si="32"/>
        <v>1946</v>
      </c>
      <c r="B1947" s="42" cm="1">
        <f t="array" aca="1" ref="B1947" ca="1">INDEX(Historical!$A$1:$A$18, RANDBETWEEN(1, COUNTA(Historical!$A$1:$A$18)))</f>
        <v>1.3157894736842106</v>
      </c>
      <c r="C1947" s="42">
        <f ca="1">Inputs!$B$2/B1947</f>
        <v>170.23999999999998</v>
      </c>
      <c r="D1947" s="43">
        <f ca="1">WORKDAY(Inputs!$B$3, ROUND(C1947, 0),Sheet2!$A$2:$A$21)</f>
        <v>46266</v>
      </c>
    </row>
    <row r="1948" spans="1:4" x14ac:dyDescent="0.25">
      <c r="A1948" s="42">
        <f t="shared" si="32"/>
        <v>1947</v>
      </c>
      <c r="B1948" s="42" cm="1">
        <f t="array" aca="1" ref="B1948" ca="1">INDEX(Historical!$A$1:$A$18, RANDBETWEEN(1, COUNTA(Historical!$A$1:$A$18)))</f>
        <v>1.368421052631579</v>
      </c>
      <c r="C1948" s="42">
        <f ca="1">Inputs!$B$2/B1948</f>
        <v>163.69230769230768</v>
      </c>
      <c r="D1948" s="43">
        <f ca="1">WORKDAY(Inputs!$B$3, ROUND(C1948, 0),Sheet2!$A$2:$A$21)</f>
        <v>46258</v>
      </c>
    </row>
    <row r="1949" spans="1:4" x14ac:dyDescent="0.25">
      <c r="A1949" s="42">
        <f t="shared" si="32"/>
        <v>1948</v>
      </c>
      <c r="B1949" s="42" cm="1">
        <f t="array" aca="1" ref="B1949" ca="1">INDEX(Historical!$A$1:$A$18, RANDBETWEEN(1, COUNTA(Historical!$A$1:$A$18)))</f>
        <v>1.4347826086956521</v>
      </c>
      <c r="C1949" s="42">
        <f ca="1">Inputs!$B$2/B1949</f>
        <v>156.12121212121212</v>
      </c>
      <c r="D1949" s="43">
        <f ca="1">WORKDAY(Inputs!$B$3, ROUND(C1949, 0),Sheet2!$A$2:$A$21)</f>
        <v>46246</v>
      </c>
    </row>
    <row r="1950" spans="1:4" x14ac:dyDescent="0.25">
      <c r="A1950" s="42">
        <f t="shared" si="32"/>
        <v>1949</v>
      </c>
      <c r="B1950" s="42" cm="1">
        <f t="array" aca="1" ref="B1950" ca="1">INDEX(Historical!$A$1:$A$18, RANDBETWEEN(1, COUNTA(Historical!$A$1:$A$18)))</f>
        <v>1.290909090909091</v>
      </c>
      <c r="C1950" s="42">
        <f ca="1">Inputs!$B$2/B1950</f>
        <v>173.52112676056336</v>
      </c>
      <c r="D1950" s="43">
        <f ca="1">WORKDAY(Inputs!$B$3, ROUND(C1950, 0),Sheet2!$A$2:$A$21)</f>
        <v>46273</v>
      </c>
    </row>
    <row r="1951" spans="1:4" x14ac:dyDescent="0.25">
      <c r="A1951" s="42">
        <f t="shared" si="32"/>
        <v>1950</v>
      </c>
      <c r="B1951" s="42" cm="1">
        <f t="array" aca="1" ref="B1951" ca="1">INDEX(Historical!$A$1:$A$18, RANDBETWEEN(1, COUNTA(Historical!$A$1:$A$18)))</f>
        <v>1.290909090909091</v>
      </c>
      <c r="C1951" s="42">
        <f ca="1">Inputs!$B$2/B1951</f>
        <v>173.52112676056336</v>
      </c>
      <c r="D1951" s="43">
        <f ca="1">WORKDAY(Inputs!$B$3, ROUND(C1951, 0),Sheet2!$A$2:$A$21)</f>
        <v>46273</v>
      </c>
    </row>
    <row r="1952" spans="1:4" x14ac:dyDescent="0.25">
      <c r="A1952" s="42">
        <f t="shared" si="32"/>
        <v>1951</v>
      </c>
      <c r="B1952" s="42" cm="1">
        <f t="array" aca="1" ref="B1952" ca="1">INDEX(Historical!$A$1:$A$18, RANDBETWEEN(1, COUNTA(Historical!$A$1:$A$18)))</f>
        <v>1.5</v>
      </c>
      <c r="C1952" s="42">
        <f ca="1">Inputs!$B$2/B1952</f>
        <v>149.33333333333334</v>
      </c>
      <c r="D1952" s="43">
        <f ca="1">WORKDAY(Inputs!$B$3, ROUND(C1952, 0),Sheet2!$A$2:$A$21)</f>
        <v>46237</v>
      </c>
    </row>
    <row r="1953" spans="1:4" x14ac:dyDescent="0.25">
      <c r="A1953" s="42">
        <f t="shared" si="32"/>
        <v>1952</v>
      </c>
      <c r="B1953" s="42" cm="1">
        <f t="array" aca="1" ref="B1953" ca="1">INDEX(Historical!$A$1:$A$18, RANDBETWEEN(1, COUNTA(Historical!$A$1:$A$18)))</f>
        <v>1.4347826086956521</v>
      </c>
      <c r="C1953" s="42">
        <f ca="1">Inputs!$B$2/B1953</f>
        <v>156.12121212121212</v>
      </c>
      <c r="D1953" s="43">
        <f ca="1">WORKDAY(Inputs!$B$3, ROUND(C1953, 0),Sheet2!$A$2:$A$21)</f>
        <v>46246</v>
      </c>
    </row>
    <row r="1954" spans="1:4" x14ac:dyDescent="0.25">
      <c r="A1954" s="42">
        <f t="shared" si="32"/>
        <v>1953</v>
      </c>
      <c r="B1954" s="42" cm="1">
        <f t="array" aca="1" ref="B1954" ca="1">INDEX(Historical!$A$1:$A$18, RANDBETWEEN(1, COUNTA(Historical!$A$1:$A$18)))</f>
        <v>1.368421052631579</v>
      </c>
      <c r="C1954" s="42">
        <f ca="1">Inputs!$B$2/B1954</f>
        <v>163.69230769230768</v>
      </c>
      <c r="D1954" s="43">
        <f ca="1">WORKDAY(Inputs!$B$3, ROUND(C1954, 0),Sheet2!$A$2:$A$21)</f>
        <v>46258</v>
      </c>
    </row>
    <row r="1955" spans="1:4" x14ac:dyDescent="0.25">
      <c r="A1955" s="42">
        <f t="shared" si="32"/>
        <v>1954</v>
      </c>
      <c r="B1955" s="42" cm="1">
        <f t="array" aca="1" ref="B1955" ca="1">INDEX(Historical!$A$1:$A$18, RANDBETWEEN(1, COUNTA(Historical!$A$1:$A$18)))</f>
        <v>1.4038461538461537</v>
      </c>
      <c r="C1955" s="42">
        <f ca="1">Inputs!$B$2/B1955</f>
        <v>159.56164383561645</v>
      </c>
      <c r="D1955" s="43">
        <f ca="1">WORKDAY(Inputs!$B$3, ROUND(C1955, 0),Sheet2!$A$2:$A$21)</f>
        <v>46252</v>
      </c>
    </row>
    <row r="1956" spans="1:4" x14ac:dyDescent="0.25">
      <c r="A1956" s="42">
        <f t="shared" si="32"/>
        <v>1955</v>
      </c>
      <c r="B1956" s="42" cm="1">
        <f t="array" aca="1" ref="B1956" ca="1">INDEX(Historical!$A$1:$A$18, RANDBETWEEN(1, COUNTA(Historical!$A$1:$A$18)))</f>
        <v>1.4137931034482758</v>
      </c>
      <c r="C1956" s="42">
        <f ca="1">Inputs!$B$2/B1956</f>
        <v>158.4390243902439</v>
      </c>
      <c r="D1956" s="43">
        <f ca="1">WORKDAY(Inputs!$B$3, ROUND(C1956, 0),Sheet2!$A$2:$A$21)</f>
        <v>46248</v>
      </c>
    </row>
    <row r="1957" spans="1:4" x14ac:dyDescent="0.25">
      <c r="A1957" s="42">
        <f t="shared" si="32"/>
        <v>1956</v>
      </c>
      <c r="B1957" s="42" cm="1">
        <f t="array" aca="1" ref="B1957" ca="1">INDEX(Historical!$A$1:$A$18, RANDBETWEEN(1, COUNTA(Historical!$A$1:$A$18)))</f>
        <v>1.3692307692307693</v>
      </c>
      <c r="C1957" s="42">
        <f ca="1">Inputs!$B$2/B1957</f>
        <v>163.59550561797752</v>
      </c>
      <c r="D1957" s="43">
        <f ca="1">WORKDAY(Inputs!$B$3, ROUND(C1957, 0),Sheet2!$A$2:$A$21)</f>
        <v>46258</v>
      </c>
    </row>
    <row r="1958" spans="1:4" x14ac:dyDescent="0.25">
      <c r="A1958" s="42">
        <f t="shared" si="32"/>
        <v>1957</v>
      </c>
      <c r="B1958" s="42" cm="1">
        <f t="array" aca="1" ref="B1958" ca="1">INDEX(Historical!$A$1:$A$18, RANDBETWEEN(1, COUNTA(Historical!$A$1:$A$18)))</f>
        <v>1.303030303030303</v>
      </c>
      <c r="C1958" s="42">
        <f ca="1">Inputs!$B$2/B1958</f>
        <v>171.90697674418604</v>
      </c>
      <c r="D1958" s="43">
        <f ca="1">WORKDAY(Inputs!$B$3, ROUND(C1958, 0),Sheet2!$A$2:$A$21)</f>
        <v>46268</v>
      </c>
    </row>
    <row r="1959" spans="1:4" x14ac:dyDescent="0.25">
      <c r="A1959" s="42">
        <f t="shared" si="32"/>
        <v>1958</v>
      </c>
      <c r="B1959" s="42" cm="1">
        <f t="array" aca="1" ref="B1959" ca="1">INDEX(Historical!$A$1:$A$18, RANDBETWEEN(1, COUNTA(Historical!$A$1:$A$18)))</f>
        <v>1.4137931034482758</v>
      </c>
      <c r="C1959" s="42">
        <f ca="1">Inputs!$B$2/B1959</f>
        <v>158.4390243902439</v>
      </c>
      <c r="D1959" s="43">
        <f ca="1">WORKDAY(Inputs!$B$3, ROUND(C1959, 0),Sheet2!$A$2:$A$21)</f>
        <v>46248</v>
      </c>
    </row>
    <row r="1960" spans="1:4" x14ac:dyDescent="0.25">
      <c r="A1960" s="42">
        <f t="shared" si="32"/>
        <v>1959</v>
      </c>
      <c r="B1960" s="42" cm="1">
        <f t="array" aca="1" ref="B1960" ca="1">INDEX(Historical!$A$1:$A$18, RANDBETWEEN(1, COUNTA(Historical!$A$1:$A$18)))</f>
        <v>1.3707865168539326</v>
      </c>
      <c r="C1960" s="42">
        <f ca="1">Inputs!$B$2/B1960</f>
        <v>163.40983606557376</v>
      </c>
      <c r="D1960" s="43">
        <f ca="1">WORKDAY(Inputs!$B$3, ROUND(C1960, 0),Sheet2!$A$2:$A$21)</f>
        <v>46255</v>
      </c>
    </row>
    <row r="1961" spans="1:4" x14ac:dyDescent="0.25">
      <c r="A1961" s="42">
        <f t="shared" si="32"/>
        <v>1960</v>
      </c>
      <c r="B1961" s="42" cm="1">
        <f t="array" aca="1" ref="B1961" ca="1">INDEX(Historical!$A$1:$A$18, RANDBETWEEN(1, COUNTA(Historical!$A$1:$A$18)))</f>
        <v>1.4038461538461537</v>
      </c>
      <c r="C1961" s="42">
        <f ca="1">Inputs!$B$2/B1961</f>
        <v>159.56164383561645</v>
      </c>
      <c r="D1961" s="43">
        <f ca="1">WORKDAY(Inputs!$B$3, ROUND(C1961, 0),Sheet2!$A$2:$A$21)</f>
        <v>46252</v>
      </c>
    </row>
    <row r="1962" spans="1:4" x14ac:dyDescent="0.25">
      <c r="A1962" s="42">
        <f t="shared" si="32"/>
        <v>1961</v>
      </c>
      <c r="B1962" s="42" cm="1">
        <f t="array" aca="1" ref="B1962" ca="1">INDEX(Historical!$A$1:$A$18, RANDBETWEEN(1, COUNTA(Historical!$A$1:$A$18)))</f>
        <v>1.1666666666666667</v>
      </c>
      <c r="C1962" s="42">
        <f ca="1">Inputs!$B$2/B1962</f>
        <v>192</v>
      </c>
      <c r="D1962" s="43">
        <f ca="1">WORKDAY(Inputs!$B$3, ROUND(C1962, 0),Sheet2!$A$2:$A$21)</f>
        <v>46297</v>
      </c>
    </row>
    <row r="1963" spans="1:4" x14ac:dyDescent="0.25">
      <c r="A1963" s="42">
        <f t="shared" si="32"/>
        <v>1962</v>
      </c>
      <c r="B1963" s="42" cm="1">
        <f t="array" aca="1" ref="B1963" ca="1">INDEX(Historical!$A$1:$A$18, RANDBETWEEN(1, COUNTA(Historical!$A$1:$A$18)))</f>
        <v>1.4038461538461537</v>
      </c>
      <c r="C1963" s="42">
        <f ca="1">Inputs!$B$2/B1963</f>
        <v>159.56164383561645</v>
      </c>
      <c r="D1963" s="43">
        <f ca="1">WORKDAY(Inputs!$B$3, ROUND(C1963, 0),Sheet2!$A$2:$A$21)</f>
        <v>46252</v>
      </c>
    </row>
    <row r="1964" spans="1:4" x14ac:dyDescent="0.25">
      <c r="A1964" s="42">
        <f t="shared" si="32"/>
        <v>1963</v>
      </c>
      <c r="B1964" s="42" cm="1">
        <f t="array" aca="1" ref="B1964" ca="1">INDEX(Historical!$A$1:$A$18, RANDBETWEEN(1, COUNTA(Historical!$A$1:$A$18)))</f>
        <v>1.4137931034482758</v>
      </c>
      <c r="C1964" s="42">
        <f ca="1">Inputs!$B$2/B1964</f>
        <v>158.4390243902439</v>
      </c>
      <c r="D1964" s="43">
        <f ca="1">WORKDAY(Inputs!$B$3, ROUND(C1964, 0),Sheet2!$A$2:$A$21)</f>
        <v>46248</v>
      </c>
    </row>
    <row r="1965" spans="1:4" x14ac:dyDescent="0.25">
      <c r="A1965" s="42">
        <f t="shared" si="32"/>
        <v>1964</v>
      </c>
      <c r="B1965" s="42" cm="1">
        <f t="array" aca="1" ref="B1965" ca="1">INDEX(Historical!$A$1:$A$18, RANDBETWEEN(1, COUNTA(Historical!$A$1:$A$18)))</f>
        <v>1.368421052631579</v>
      </c>
      <c r="C1965" s="42">
        <f ca="1">Inputs!$B$2/B1965</f>
        <v>163.69230769230768</v>
      </c>
      <c r="D1965" s="43">
        <f ca="1">WORKDAY(Inputs!$B$3, ROUND(C1965, 0),Sheet2!$A$2:$A$21)</f>
        <v>46258</v>
      </c>
    </row>
    <row r="1966" spans="1:4" x14ac:dyDescent="0.25">
      <c r="A1966" s="42">
        <f t="shared" si="32"/>
        <v>1965</v>
      </c>
      <c r="B1966" s="42" cm="1">
        <f t="array" aca="1" ref="B1966" ca="1">INDEX(Historical!$A$1:$A$18, RANDBETWEEN(1, COUNTA(Historical!$A$1:$A$18)))</f>
        <v>1.3214285714285714</v>
      </c>
      <c r="C1966" s="42">
        <f ca="1">Inputs!$B$2/B1966</f>
        <v>169.51351351351352</v>
      </c>
      <c r="D1966" s="43">
        <f ca="1">WORKDAY(Inputs!$B$3, ROUND(C1966, 0),Sheet2!$A$2:$A$21)</f>
        <v>46266</v>
      </c>
    </row>
    <row r="1967" spans="1:4" x14ac:dyDescent="0.25">
      <c r="A1967" s="42">
        <f t="shared" si="32"/>
        <v>1966</v>
      </c>
      <c r="B1967" s="42" cm="1">
        <f t="array" aca="1" ref="B1967" ca="1">INDEX(Historical!$A$1:$A$18, RANDBETWEEN(1, COUNTA(Historical!$A$1:$A$18)))</f>
        <v>1.303030303030303</v>
      </c>
      <c r="C1967" s="42">
        <f ca="1">Inputs!$B$2/B1967</f>
        <v>171.90697674418604</v>
      </c>
      <c r="D1967" s="43">
        <f ca="1">WORKDAY(Inputs!$B$3, ROUND(C1967, 0),Sheet2!$A$2:$A$21)</f>
        <v>46268</v>
      </c>
    </row>
    <row r="1968" spans="1:4" x14ac:dyDescent="0.25">
      <c r="A1968" s="42">
        <f t="shared" si="32"/>
        <v>1967</v>
      </c>
      <c r="B1968" s="42" cm="1">
        <f t="array" aca="1" ref="B1968" ca="1">INDEX(Historical!$A$1:$A$18, RANDBETWEEN(1, COUNTA(Historical!$A$1:$A$18)))</f>
        <v>1.3157894736842106</v>
      </c>
      <c r="C1968" s="42">
        <f ca="1">Inputs!$B$2/B1968</f>
        <v>170.23999999999998</v>
      </c>
      <c r="D1968" s="43">
        <f ca="1">WORKDAY(Inputs!$B$3, ROUND(C1968, 0),Sheet2!$A$2:$A$21)</f>
        <v>46266</v>
      </c>
    </row>
    <row r="1969" spans="1:4" x14ac:dyDescent="0.25">
      <c r="A1969" s="42">
        <f t="shared" si="32"/>
        <v>1968</v>
      </c>
      <c r="B1969" s="42" cm="1">
        <f t="array" aca="1" ref="B1969" ca="1">INDEX(Historical!$A$1:$A$18, RANDBETWEEN(1, COUNTA(Historical!$A$1:$A$18)))</f>
        <v>1.375</v>
      </c>
      <c r="C1969" s="42">
        <f ca="1">Inputs!$B$2/B1969</f>
        <v>162.90909090909091</v>
      </c>
      <c r="D1969" s="43">
        <f ca="1">WORKDAY(Inputs!$B$3, ROUND(C1969, 0),Sheet2!$A$2:$A$21)</f>
        <v>46255</v>
      </c>
    </row>
    <row r="1970" spans="1:4" x14ac:dyDescent="0.25">
      <c r="A1970" s="42">
        <f t="shared" si="32"/>
        <v>1969</v>
      </c>
      <c r="B1970" s="42" cm="1">
        <f t="array" aca="1" ref="B1970" ca="1">INDEX(Historical!$A$1:$A$18, RANDBETWEEN(1, COUNTA(Historical!$A$1:$A$18)))</f>
        <v>1.1666666666666667</v>
      </c>
      <c r="C1970" s="42">
        <f ca="1">Inputs!$B$2/B1970</f>
        <v>192</v>
      </c>
      <c r="D1970" s="43">
        <f ca="1">WORKDAY(Inputs!$B$3, ROUND(C1970, 0),Sheet2!$A$2:$A$21)</f>
        <v>46297</v>
      </c>
    </row>
    <row r="1971" spans="1:4" x14ac:dyDescent="0.25">
      <c r="A1971" s="42">
        <f t="shared" si="32"/>
        <v>1970</v>
      </c>
      <c r="B1971" s="42" cm="1">
        <f t="array" aca="1" ref="B1971" ca="1">INDEX(Historical!$A$1:$A$18, RANDBETWEEN(1, COUNTA(Historical!$A$1:$A$18)))</f>
        <v>1.2941176470588236</v>
      </c>
      <c r="C1971" s="42">
        <f ca="1">Inputs!$B$2/B1971</f>
        <v>173.09090909090909</v>
      </c>
      <c r="D1971" s="43">
        <f ca="1">WORKDAY(Inputs!$B$3, ROUND(C1971, 0),Sheet2!$A$2:$A$21)</f>
        <v>46269</v>
      </c>
    </row>
    <row r="1972" spans="1:4" x14ac:dyDescent="0.25">
      <c r="A1972" s="42">
        <f t="shared" si="32"/>
        <v>1971</v>
      </c>
      <c r="B1972" s="42" cm="1">
        <f t="array" aca="1" ref="B1972" ca="1">INDEX(Historical!$A$1:$A$18, RANDBETWEEN(1, COUNTA(Historical!$A$1:$A$18)))</f>
        <v>1.4137931034482758</v>
      </c>
      <c r="C1972" s="42">
        <f ca="1">Inputs!$B$2/B1972</f>
        <v>158.4390243902439</v>
      </c>
      <c r="D1972" s="43">
        <f ca="1">WORKDAY(Inputs!$B$3, ROUND(C1972, 0),Sheet2!$A$2:$A$21)</f>
        <v>46248</v>
      </c>
    </row>
    <row r="1973" spans="1:4" x14ac:dyDescent="0.25">
      <c r="A1973" s="42">
        <f t="shared" si="32"/>
        <v>1972</v>
      </c>
      <c r="B1973" s="42" cm="1">
        <f t="array" aca="1" ref="B1973" ca="1">INDEX(Historical!$A$1:$A$18, RANDBETWEEN(1, COUNTA(Historical!$A$1:$A$18)))</f>
        <v>1.3692307692307693</v>
      </c>
      <c r="C1973" s="42">
        <f ca="1">Inputs!$B$2/B1973</f>
        <v>163.59550561797752</v>
      </c>
      <c r="D1973" s="43">
        <f ca="1">WORKDAY(Inputs!$B$3, ROUND(C1973, 0),Sheet2!$A$2:$A$21)</f>
        <v>46258</v>
      </c>
    </row>
    <row r="1974" spans="1:4" x14ac:dyDescent="0.25">
      <c r="A1974" s="42">
        <f t="shared" si="32"/>
        <v>1973</v>
      </c>
      <c r="B1974" s="42" cm="1">
        <f t="array" aca="1" ref="B1974" ca="1">INDEX(Historical!$A$1:$A$18, RANDBETWEEN(1, COUNTA(Historical!$A$1:$A$18)))</f>
        <v>1.4137931034482758</v>
      </c>
      <c r="C1974" s="42">
        <f ca="1">Inputs!$B$2/B1974</f>
        <v>158.4390243902439</v>
      </c>
      <c r="D1974" s="43">
        <f ca="1">WORKDAY(Inputs!$B$3, ROUND(C1974, 0),Sheet2!$A$2:$A$21)</f>
        <v>46248</v>
      </c>
    </row>
    <row r="1975" spans="1:4" x14ac:dyDescent="0.25">
      <c r="A1975" s="42">
        <f t="shared" si="32"/>
        <v>1974</v>
      </c>
      <c r="B1975" s="42" cm="1">
        <f t="array" aca="1" ref="B1975" ca="1">INDEX(Historical!$A$1:$A$18, RANDBETWEEN(1, COUNTA(Historical!$A$1:$A$18)))</f>
        <v>1.3559322033898304</v>
      </c>
      <c r="C1975" s="42">
        <f ca="1">Inputs!$B$2/B1975</f>
        <v>165.20000000000002</v>
      </c>
      <c r="D1975" s="43">
        <f ca="1">WORKDAY(Inputs!$B$3, ROUND(C1975, 0),Sheet2!$A$2:$A$21)</f>
        <v>46259</v>
      </c>
    </row>
    <row r="1976" spans="1:4" x14ac:dyDescent="0.25">
      <c r="A1976" s="42">
        <f t="shared" si="32"/>
        <v>1975</v>
      </c>
      <c r="B1976" s="42" cm="1">
        <f t="array" aca="1" ref="B1976" ca="1">INDEX(Historical!$A$1:$A$18, RANDBETWEEN(1, COUNTA(Historical!$A$1:$A$18)))</f>
        <v>1.4761904761904763</v>
      </c>
      <c r="C1976" s="42">
        <f ca="1">Inputs!$B$2/B1976</f>
        <v>151.74193548387095</v>
      </c>
      <c r="D1976" s="43">
        <f ca="1">WORKDAY(Inputs!$B$3, ROUND(C1976, 0),Sheet2!$A$2:$A$21)</f>
        <v>46240</v>
      </c>
    </row>
    <row r="1977" spans="1:4" x14ac:dyDescent="0.25">
      <c r="A1977" s="42">
        <f t="shared" si="32"/>
        <v>1976</v>
      </c>
      <c r="B1977" s="42" cm="1">
        <f t="array" aca="1" ref="B1977" ca="1">INDEX(Historical!$A$1:$A$18, RANDBETWEEN(1, COUNTA(Historical!$A$1:$A$18)))</f>
        <v>1.2941176470588236</v>
      </c>
      <c r="C1977" s="42">
        <f ca="1">Inputs!$B$2/B1977</f>
        <v>173.09090909090909</v>
      </c>
      <c r="D1977" s="43">
        <f ca="1">WORKDAY(Inputs!$B$3, ROUND(C1977, 0),Sheet2!$A$2:$A$21)</f>
        <v>46269</v>
      </c>
    </row>
    <row r="1978" spans="1:4" x14ac:dyDescent="0.25">
      <c r="A1978" s="42">
        <f t="shared" si="32"/>
        <v>1977</v>
      </c>
      <c r="B1978" s="42" cm="1">
        <f t="array" aca="1" ref="B1978" ca="1">INDEX(Historical!$A$1:$A$18, RANDBETWEEN(1, COUNTA(Historical!$A$1:$A$18)))</f>
        <v>1.2941176470588236</v>
      </c>
      <c r="C1978" s="42">
        <f ca="1">Inputs!$B$2/B1978</f>
        <v>173.09090909090909</v>
      </c>
      <c r="D1978" s="43">
        <f ca="1">WORKDAY(Inputs!$B$3, ROUND(C1978, 0),Sheet2!$A$2:$A$21)</f>
        <v>46269</v>
      </c>
    </row>
    <row r="1979" spans="1:4" x14ac:dyDescent="0.25">
      <c r="A1979" s="42">
        <f t="shared" si="32"/>
        <v>1978</v>
      </c>
      <c r="B1979" s="42" cm="1">
        <f t="array" aca="1" ref="B1979" ca="1">INDEX(Historical!$A$1:$A$18, RANDBETWEEN(1, COUNTA(Historical!$A$1:$A$18)))</f>
        <v>1.4137931034482758</v>
      </c>
      <c r="C1979" s="42">
        <f ca="1">Inputs!$B$2/B1979</f>
        <v>158.4390243902439</v>
      </c>
      <c r="D1979" s="43">
        <f ca="1">WORKDAY(Inputs!$B$3, ROUND(C1979, 0),Sheet2!$A$2:$A$21)</f>
        <v>46248</v>
      </c>
    </row>
    <row r="1980" spans="1:4" x14ac:dyDescent="0.25">
      <c r="A1980" s="42">
        <f t="shared" si="32"/>
        <v>1979</v>
      </c>
      <c r="B1980" s="42" cm="1">
        <f t="array" aca="1" ref="B1980" ca="1">INDEX(Historical!$A$1:$A$18, RANDBETWEEN(1, COUNTA(Historical!$A$1:$A$18)))</f>
        <v>1.4761904761904763</v>
      </c>
      <c r="C1980" s="42">
        <f ca="1">Inputs!$B$2/B1980</f>
        <v>151.74193548387095</v>
      </c>
      <c r="D1980" s="43">
        <f ca="1">WORKDAY(Inputs!$B$3, ROUND(C1980, 0),Sheet2!$A$2:$A$21)</f>
        <v>46240</v>
      </c>
    </row>
    <row r="1981" spans="1:4" x14ac:dyDescent="0.25">
      <c r="A1981" s="42">
        <f t="shared" si="32"/>
        <v>1980</v>
      </c>
      <c r="B1981" s="42" cm="1">
        <f t="array" aca="1" ref="B1981" ca="1">INDEX(Historical!$A$1:$A$18, RANDBETWEEN(1, COUNTA(Historical!$A$1:$A$18)))</f>
        <v>1.368421052631579</v>
      </c>
      <c r="C1981" s="42">
        <f ca="1">Inputs!$B$2/B1981</f>
        <v>163.69230769230768</v>
      </c>
      <c r="D1981" s="43">
        <f ca="1">WORKDAY(Inputs!$B$3, ROUND(C1981, 0),Sheet2!$A$2:$A$21)</f>
        <v>46258</v>
      </c>
    </row>
    <row r="1982" spans="1:4" x14ac:dyDescent="0.25">
      <c r="A1982" s="42">
        <f t="shared" si="32"/>
        <v>1981</v>
      </c>
      <c r="B1982" s="42" cm="1">
        <f t="array" aca="1" ref="B1982" ca="1">INDEX(Historical!$A$1:$A$18, RANDBETWEEN(1, COUNTA(Historical!$A$1:$A$18)))</f>
        <v>1.5</v>
      </c>
      <c r="C1982" s="42">
        <f ca="1">Inputs!$B$2/B1982</f>
        <v>149.33333333333334</v>
      </c>
      <c r="D1982" s="43">
        <f ca="1">WORKDAY(Inputs!$B$3, ROUND(C1982, 0),Sheet2!$A$2:$A$21)</f>
        <v>46237</v>
      </c>
    </row>
    <row r="1983" spans="1:4" x14ac:dyDescent="0.25">
      <c r="A1983" s="42">
        <f t="shared" si="32"/>
        <v>1982</v>
      </c>
      <c r="B1983" s="42" cm="1">
        <f t="array" aca="1" ref="B1983" ca="1">INDEX(Historical!$A$1:$A$18, RANDBETWEEN(1, COUNTA(Historical!$A$1:$A$18)))</f>
        <v>1.290909090909091</v>
      </c>
      <c r="C1983" s="42">
        <f ca="1">Inputs!$B$2/B1983</f>
        <v>173.52112676056336</v>
      </c>
      <c r="D1983" s="43">
        <f ca="1">WORKDAY(Inputs!$B$3, ROUND(C1983, 0),Sheet2!$A$2:$A$21)</f>
        <v>46273</v>
      </c>
    </row>
    <row r="1984" spans="1:4" x14ac:dyDescent="0.25">
      <c r="A1984" s="42">
        <f t="shared" si="32"/>
        <v>1983</v>
      </c>
      <c r="B1984" s="42" cm="1">
        <f t="array" aca="1" ref="B1984" ca="1">INDEX(Historical!$A$1:$A$18, RANDBETWEEN(1, COUNTA(Historical!$A$1:$A$18)))</f>
        <v>1.3617021276595744</v>
      </c>
      <c r="C1984" s="42">
        <f ca="1">Inputs!$B$2/B1984</f>
        <v>164.5</v>
      </c>
      <c r="D1984" s="43">
        <f ca="1">WORKDAY(Inputs!$B$3, ROUND(C1984, 0),Sheet2!$A$2:$A$21)</f>
        <v>46259</v>
      </c>
    </row>
    <row r="1985" spans="1:4" x14ac:dyDescent="0.25">
      <c r="A1985" s="42">
        <f t="shared" si="32"/>
        <v>1984</v>
      </c>
      <c r="B1985" s="42" cm="1">
        <f t="array" aca="1" ref="B1985" ca="1">INDEX(Historical!$A$1:$A$18, RANDBETWEEN(1, COUNTA(Historical!$A$1:$A$18)))</f>
        <v>1.5</v>
      </c>
      <c r="C1985" s="42">
        <f ca="1">Inputs!$B$2/B1985</f>
        <v>149.33333333333334</v>
      </c>
      <c r="D1985" s="43">
        <f ca="1">WORKDAY(Inputs!$B$3, ROUND(C1985, 0),Sheet2!$A$2:$A$21)</f>
        <v>46237</v>
      </c>
    </row>
    <row r="1986" spans="1:4" x14ac:dyDescent="0.25">
      <c r="A1986" s="42">
        <f t="shared" si="32"/>
        <v>1985</v>
      </c>
      <c r="B1986" s="42" cm="1">
        <f t="array" aca="1" ref="B1986" ca="1">INDEX(Historical!$A$1:$A$18, RANDBETWEEN(1, COUNTA(Historical!$A$1:$A$18)))</f>
        <v>1.3611111111111112</v>
      </c>
      <c r="C1986" s="42">
        <f ca="1">Inputs!$B$2/B1986</f>
        <v>164.57142857142856</v>
      </c>
      <c r="D1986" s="43">
        <f ca="1">WORKDAY(Inputs!$B$3, ROUND(C1986, 0),Sheet2!$A$2:$A$21)</f>
        <v>46259</v>
      </c>
    </row>
    <row r="1987" spans="1:4" x14ac:dyDescent="0.25">
      <c r="A1987" s="42">
        <f t="shared" ref="A1987:A2050" si="33">ROW()-1</f>
        <v>1986</v>
      </c>
      <c r="B1987" s="42" cm="1">
        <f t="array" aca="1" ref="B1987" ca="1">INDEX(Historical!$A$1:$A$18, RANDBETWEEN(1, COUNTA(Historical!$A$1:$A$18)))</f>
        <v>1.2941176470588236</v>
      </c>
      <c r="C1987" s="42">
        <f ca="1">Inputs!$B$2/B1987</f>
        <v>173.09090909090909</v>
      </c>
      <c r="D1987" s="43">
        <f ca="1">WORKDAY(Inputs!$B$3, ROUND(C1987, 0),Sheet2!$A$2:$A$21)</f>
        <v>46269</v>
      </c>
    </row>
    <row r="1988" spans="1:4" x14ac:dyDescent="0.25">
      <c r="A1988" s="42">
        <f t="shared" si="33"/>
        <v>1987</v>
      </c>
      <c r="B1988" s="42" cm="1">
        <f t="array" aca="1" ref="B1988" ca="1">INDEX(Historical!$A$1:$A$18, RANDBETWEEN(1, COUNTA(Historical!$A$1:$A$18)))</f>
        <v>1.368421052631579</v>
      </c>
      <c r="C1988" s="42">
        <f ca="1">Inputs!$B$2/B1988</f>
        <v>163.69230769230768</v>
      </c>
      <c r="D1988" s="43">
        <f ca="1">WORKDAY(Inputs!$B$3, ROUND(C1988, 0),Sheet2!$A$2:$A$21)</f>
        <v>46258</v>
      </c>
    </row>
    <row r="1989" spans="1:4" x14ac:dyDescent="0.25">
      <c r="A1989" s="42">
        <f t="shared" si="33"/>
        <v>1988</v>
      </c>
      <c r="B1989" s="42" cm="1">
        <f t="array" aca="1" ref="B1989" ca="1">INDEX(Historical!$A$1:$A$18, RANDBETWEEN(1, COUNTA(Historical!$A$1:$A$18)))</f>
        <v>1.3617021276595744</v>
      </c>
      <c r="C1989" s="42">
        <f ca="1">Inputs!$B$2/B1989</f>
        <v>164.5</v>
      </c>
      <c r="D1989" s="43">
        <f ca="1">WORKDAY(Inputs!$B$3, ROUND(C1989, 0),Sheet2!$A$2:$A$21)</f>
        <v>46259</v>
      </c>
    </row>
    <row r="1990" spans="1:4" x14ac:dyDescent="0.25">
      <c r="A1990" s="42">
        <f t="shared" si="33"/>
        <v>1989</v>
      </c>
      <c r="B1990" s="42" cm="1">
        <f t="array" aca="1" ref="B1990" ca="1">INDEX(Historical!$A$1:$A$18, RANDBETWEEN(1, COUNTA(Historical!$A$1:$A$18)))</f>
        <v>1.375</v>
      </c>
      <c r="C1990" s="42">
        <f ca="1">Inputs!$B$2/B1990</f>
        <v>162.90909090909091</v>
      </c>
      <c r="D1990" s="43">
        <f ca="1">WORKDAY(Inputs!$B$3, ROUND(C1990, 0),Sheet2!$A$2:$A$21)</f>
        <v>46255</v>
      </c>
    </row>
    <row r="1991" spans="1:4" x14ac:dyDescent="0.25">
      <c r="A1991" s="42">
        <f t="shared" si="33"/>
        <v>1990</v>
      </c>
      <c r="B1991" s="42" cm="1">
        <f t="array" aca="1" ref="B1991" ca="1">INDEX(Historical!$A$1:$A$18, RANDBETWEEN(1, COUNTA(Historical!$A$1:$A$18)))</f>
        <v>1.3692307692307693</v>
      </c>
      <c r="C1991" s="42">
        <f ca="1">Inputs!$B$2/B1991</f>
        <v>163.59550561797752</v>
      </c>
      <c r="D1991" s="43">
        <f ca="1">WORKDAY(Inputs!$B$3, ROUND(C1991, 0),Sheet2!$A$2:$A$21)</f>
        <v>46258</v>
      </c>
    </row>
    <row r="1992" spans="1:4" x14ac:dyDescent="0.25">
      <c r="A1992" s="42">
        <f t="shared" si="33"/>
        <v>1991</v>
      </c>
      <c r="B1992" s="42" cm="1">
        <f t="array" aca="1" ref="B1992" ca="1">INDEX(Historical!$A$1:$A$18, RANDBETWEEN(1, COUNTA(Historical!$A$1:$A$18)))</f>
        <v>1.3692307692307693</v>
      </c>
      <c r="C1992" s="42">
        <f ca="1">Inputs!$B$2/B1992</f>
        <v>163.59550561797752</v>
      </c>
      <c r="D1992" s="43">
        <f ca="1">WORKDAY(Inputs!$B$3, ROUND(C1992, 0),Sheet2!$A$2:$A$21)</f>
        <v>46258</v>
      </c>
    </row>
    <row r="1993" spans="1:4" x14ac:dyDescent="0.25">
      <c r="A1993" s="42">
        <f t="shared" si="33"/>
        <v>1992</v>
      </c>
      <c r="B1993" s="42" cm="1">
        <f t="array" aca="1" ref="B1993" ca="1">INDEX(Historical!$A$1:$A$18, RANDBETWEEN(1, COUNTA(Historical!$A$1:$A$18)))</f>
        <v>1.1666666666666667</v>
      </c>
      <c r="C1993" s="42">
        <f ca="1">Inputs!$B$2/B1993</f>
        <v>192</v>
      </c>
      <c r="D1993" s="43">
        <f ca="1">WORKDAY(Inputs!$B$3, ROUND(C1993, 0),Sheet2!$A$2:$A$21)</f>
        <v>46297</v>
      </c>
    </row>
    <row r="1994" spans="1:4" x14ac:dyDescent="0.25">
      <c r="A1994" s="42">
        <f t="shared" si="33"/>
        <v>1993</v>
      </c>
      <c r="B1994" s="42" cm="1">
        <f t="array" aca="1" ref="B1994" ca="1">INDEX(Historical!$A$1:$A$18, RANDBETWEEN(1, COUNTA(Historical!$A$1:$A$18)))</f>
        <v>1.3214285714285714</v>
      </c>
      <c r="C1994" s="42">
        <f ca="1">Inputs!$B$2/B1994</f>
        <v>169.51351351351352</v>
      </c>
      <c r="D1994" s="43">
        <f ca="1">WORKDAY(Inputs!$B$3, ROUND(C1994, 0),Sheet2!$A$2:$A$21)</f>
        <v>46266</v>
      </c>
    </row>
    <row r="1995" spans="1:4" x14ac:dyDescent="0.25">
      <c r="A1995" s="42">
        <f t="shared" si="33"/>
        <v>1994</v>
      </c>
      <c r="B1995" s="42" cm="1">
        <f t="array" aca="1" ref="B1995" ca="1">INDEX(Historical!$A$1:$A$18, RANDBETWEEN(1, COUNTA(Historical!$A$1:$A$18)))</f>
        <v>1.3617021276595744</v>
      </c>
      <c r="C1995" s="42">
        <f ca="1">Inputs!$B$2/B1995</f>
        <v>164.5</v>
      </c>
      <c r="D1995" s="43">
        <f ca="1">WORKDAY(Inputs!$B$3, ROUND(C1995, 0),Sheet2!$A$2:$A$21)</f>
        <v>46259</v>
      </c>
    </row>
    <row r="1996" spans="1:4" x14ac:dyDescent="0.25">
      <c r="A1996" s="42">
        <f t="shared" si="33"/>
        <v>1995</v>
      </c>
      <c r="B1996" s="42" cm="1">
        <f t="array" aca="1" ref="B1996" ca="1">INDEX(Historical!$A$1:$A$18, RANDBETWEEN(1, COUNTA(Historical!$A$1:$A$18)))</f>
        <v>1.4137931034482758</v>
      </c>
      <c r="C1996" s="42">
        <f ca="1">Inputs!$B$2/B1996</f>
        <v>158.4390243902439</v>
      </c>
      <c r="D1996" s="43">
        <f ca="1">WORKDAY(Inputs!$B$3, ROUND(C1996, 0),Sheet2!$A$2:$A$21)</f>
        <v>46248</v>
      </c>
    </row>
    <row r="1997" spans="1:4" x14ac:dyDescent="0.25">
      <c r="A1997" s="42">
        <f t="shared" si="33"/>
        <v>1996</v>
      </c>
      <c r="B1997" s="42" cm="1">
        <f t="array" aca="1" ref="B1997" ca="1">INDEX(Historical!$A$1:$A$18, RANDBETWEEN(1, COUNTA(Historical!$A$1:$A$18)))</f>
        <v>1.4137931034482758</v>
      </c>
      <c r="C1997" s="42">
        <f ca="1">Inputs!$B$2/B1997</f>
        <v>158.4390243902439</v>
      </c>
      <c r="D1997" s="43">
        <f ca="1">WORKDAY(Inputs!$B$3, ROUND(C1997, 0),Sheet2!$A$2:$A$21)</f>
        <v>46248</v>
      </c>
    </row>
    <row r="1998" spans="1:4" x14ac:dyDescent="0.25">
      <c r="A1998" s="42">
        <f t="shared" si="33"/>
        <v>1997</v>
      </c>
      <c r="B1998" s="42" cm="1">
        <f t="array" aca="1" ref="B1998" ca="1">INDEX(Historical!$A$1:$A$18, RANDBETWEEN(1, COUNTA(Historical!$A$1:$A$18)))</f>
        <v>1.2941176470588236</v>
      </c>
      <c r="C1998" s="42">
        <f ca="1">Inputs!$B$2/B1998</f>
        <v>173.09090909090909</v>
      </c>
      <c r="D1998" s="43">
        <f ca="1">WORKDAY(Inputs!$B$3, ROUND(C1998, 0),Sheet2!$A$2:$A$21)</f>
        <v>46269</v>
      </c>
    </row>
    <row r="1999" spans="1:4" x14ac:dyDescent="0.25">
      <c r="A1999" s="42">
        <f t="shared" si="33"/>
        <v>1998</v>
      </c>
      <c r="B1999" s="42" cm="1">
        <f t="array" aca="1" ref="B1999" ca="1">INDEX(Historical!$A$1:$A$18, RANDBETWEEN(1, COUNTA(Historical!$A$1:$A$18)))</f>
        <v>1.368421052631579</v>
      </c>
      <c r="C1999" s="42">
        <f ca="1">Inputs!$B$2/B1999</f>
        <v>163.69230769230768</v>
      </c>
      <c r="D1999" s="43">
        <f ca="1">WORKDAY(Inputs!$B$3, ROUND(C1999, 0),Sheet2!$A$2:$A$21)</f>
        <v>46258</v>
      </c>
    </row>
    <row r="2000" spans="1:4" x14ac:dyDescent="0.25">
      <c r="A2000" s="42">
        <f t="shared" si="33"/>
        <v>1999</v>
      </c>
      <c r="B2000" s="42" cm="1">
        <f t="array" aca="1" ref="B2000" ca="1">INDEX(Historical!$A$1:$A$18, RANDBETWEEN(1, COUNTA(Historical!$A$1:$A$18)))</f>
        <v>1.2941176470588236</v>
      </c>
      <c r="C2000" s="42">
        <f ca="1">Inputs!$B$2/B2000</f>
        <v>173.09090909090909</v>
      </c>
      <c r="D2000" s="43">
        <f ca="1">WORKDAY(Inputs!$B$3, ROUND(C2000, 0),Sheet2!$A$2:$A$21)</f>
        <v>46269</v>
      </c>
    </row>
    <row r="2001" spans="1:4" x14ac:dyDescent="0.25">
      <c r="A2001" s="42">
        <f t="shared" si="33"/>
        <v>2000</v>
      </c>
      <c r="B2001" s="42" cm="1">
        <f t="array" aca="1" ref="B2001" ca="1">INDEX(Historical!$A$1:$A$18, RANDBETWEEN(1, COUNTA(Historical!$A$1:$A$18)))</f>
        <v>1.4137931034482758</v>
      </c>
      <c r="C2001" s="42">
        <f ca="1">Inputs!$B$2/B2001</f>
        <v>158.4390243902439</v>
      </c>
      <c r="D2001" s="43">
        <f ca="1">WORKDAY(Inputs!$B$3, ROUND(C2001, 0),Sheet2!$A$2:$A$21)</f>
        <v>46248</v>
      </c>
    </row>
    <row r="2002" spans="1:4" x14ac:dyDescent="0.25">
      <c r="A2002" s="42">
        <f t="shared" si="33"/>
        <v>2001</v>
      </c>
      <c r="B2002" s="42" cm="1">
        <f t="array" aca="1" ref="B2002" ca="1">INDEX(Historical!$A$1:$A$18, RANDBETWEEN(1, COUNTA(Historical!$A$1:$A$18)))</f>
        <v>1.303030303030303</v>
      </c>
      <c r="C2002" s="42">
        <f ca="1">Inputs!$B$2/B2002</f>
        <v>171.90697674418604</v>
      </c>
      <c r="D2002" s="43">
        <f ca="1">WORKDAY(Inputs!$B$3, ROUND(C2002, 0),Sheet2!$A$2:$A$21)</f>
        <v>46268</v>
      </c>
    </row>
    <row r="2003" spans="1:4" x14ac:dyDescent="0.25">
      <c r="A2003" s="42">
        <f t="shared" si="33"/>
        <v>2002</v>
      </c>
      <c r="B2003" s="42" cm="1">
        <f t="array" aca="1" ref="B2003" ca="1">INDEX(Historical!$A$1:$A$18, RANDBETWEEN(1, COUNTA(Historical!$A$1:$A$18)))</f>
        <v>1.3157894736842106</v>
      </c>
      <c r="C2003" s="42">
        <f ca="1">Inputs!$B$2/B2003</f>
        <v>170.23999999999998</v>
      </c>
      <c r="D2003" s="43">
        <f ca="1">WORKDAY(Inputs!$B$3, ROUND(C2003, 0),Sheet2!$A$2:$A$21)</f>
        <v>46266</v>
      </c>
    </row>
    <row r="2004" spans="1:4" x14ac:dyDescent="0.25">
      <c r="A2004" s="42">
        <f t="shared" si="33"/>
        <v>2003</v>
      </c>
      <c r="B2004" s="42" cm="1">
        <f t="array" aca="1" ref="B2004" ca="1">INDEX(Historical!$A$1:$A$18, RANDBETWEEN(1, COUNTA(Historical!$A$1:$A$18)))</f>
        <v>1.3157894736842106</v>
      </c>
      <c r="C2004" s="42">
        <f ca="1">Inputs!$B$2/B2004</f>
        <v>170.23999999999998</v>
      </c>
      <c r="D2004" s="43">
        <f ca="1">WORKDAY(Inputs!$B$3, ROUND(C2004, 0),Sheet2!$A$2:$A$21)</f>
        <v>46266</v>
      </c>
    </row>
    <row r="2005" spans="1:4" x14ac:dyDescent="0.25">
      <c r="A2005" s="42">
        <f t="shared" si="33"/>
        <v>2004</v>
      </c>
      <c r="B2005" s="42" cm="1">
        <f t="array" aca="1" ref="B2005" ca="1">INDEX(Historical!$A$1:$A$18, RANDBETWEEN(1, COUNTA(Historical!$A$1:$A$18)))</f>
        <v>1.368421052631579</v>
      </c>
      <c r="C2005" s="42">
        <f ca="1">Inputs!$B$2/B2005</f>
        <v>163.69230769230768</v>
      </c>
      <c r="D2005" s="43">
        <f ca="1">WORKDAY(Inputs!$B$3, ROUND(C2005, 0),Sheet2!$A$2:$A$21)</f>
        <v>46258</v>
      </c>
    </row>
    <row r="2006" spans="1:4" x14ac:dyDescent="0.25">
      <c r="A2006" s="42">
        <f t="shared" si="33"/>
        <v>2005</v>
      </c>
      <c r="B2006" s="42" cm="1">
        <f t="array" aca="1" ref="B2006" ca="1">INDEX(Historical!$A$1:$A$18, RANDBETWEEN(1, COUNTA(Historical!$A$1:$A$18)))</f>
        <v>1.4137931034482758</v>
      </c>
      <c r="C2006" s="42">
        <f ca="1">Inputs!$B$2/B2006</f>
        <v>158.4390243902439</v>
      </c>
      <c r="D2006" s="43">
        <f ca="1">WORKDAY(Inputs!$B$3, ROUND(C2006, 0),Sheet2!$A$2:$A$21)</f>
        <v>46248</v>
      </c>
    </row>
    <row r="2007" spans="1:4" x14ac:dyDescent="0.25">
      <c r="A2007" s="42">
        <f t="shared" si="33"/>
        <v>2006</v>
      </c>
      <c r="B2007" s="42" cm="1">
        <f t="array" aca="1" ref="B2007" ca="1">INDEX(Historical!$A$1:$A$18, RANDBETWEEN(1, COUNTA(Historical!$A$1:$A$18)))</f>
        <v>1.3214285714285714</v>
      </c>
      <c r="C2007" s="42">
        <f ca="1">Inputs!$B$2/B2007</f>
        <v>169.51351351351352</v>
      </c>
      <c r="D2007" s="43">
        <f ca="1">WORKDAY(Inputs!$B$3, ROUND(C2007, 0),Sheet2!$A$2:$A$21)</f>
        <v>46266</v>
      </c>
    </row>
    <row r="2008" spans="1:4" x14ac:dyDescent="0.25">
      <c r="A2008" s="42">
        <f t="shared" si="33"/>
        <v>2007</v>
      </c>
      <c r="B2008" s="42" cm="1">
        <f t="array" aca="1" ref="B2008" ca="1">INDEX(Historical!$A$1:$A$18, RANDBETWEEN(1, COUNTA(Historical!$A$1:$A$18)))</f>
        <v>1.4038461538461537</v>
      </c>
      <c r="C2008" s="42">
        <f ca="1">Inputs!$B$2/B2008</f>
        <v>159.56164383561645</v>
      </c>
      <c r="D2008" s="43">
        <f ca="1">WORKDAY(Inputs!$B$3, ROUND(C2008, 0),Sheet2!$A$2:$A$21)</f>
        <v>46252</v>
      </c>
    </row>
    <row r="2009" spans="1:4" x14ac:dyDescent="0.25">
      <c r="A2009" s="42">
        <f t="shared" si="33"/>
        <v>2008</v>
      </c>
      <c r="B2009" s="42" cm="1">
        <f t="array" aca="1" ref="B2009" ca="1">INDEX(Historical!$A$1:$A$18, RANDBETWEEN(1, COUNTA(Historical!$A$1:$A$18)))</f>
        <v>1.4038461538461537</v>
      </c>
      <c r="C2009" s="42">
        <f ca="1">Inputs!$B$2/B2009</f>
        <v>159.56164383561645</v>
      </c>
      <c r="D2009" s="43">
        <f ca="1">WORKDAY(Inputs!$B$3, ROUND(C2009, 0),Sheet2!$A$2:$A$21)</f>
        <v>46252</v>
      </c>
    </row>
    <row r="2010" spans="1:4" x14ac:dyDescent="0.25">
      <c r="A2010" s="42">
        <f t="shared" si="33"/>
        <v>2009</v>
      </c>
      <c r="B2010" s="42" cm="1">
        <f t="array" aca="1" ref="B2010" ca="1">INDEX(Historical!$A$1:$A$18, RANDBETWEEN(1, COUNTA(Historical!$A$1:$A$18)))</f>
        <v>1.1666666666666667</v>
      </c>
      <c r="C2010" s="42">
        <f ca="1">Inputs!$B$2/B2010</f>
        <v>192</v>
      </c>
      <c r="D2010" s="43">
        <f ca="1">WORKDAY(Inputs!$B$3, ROUND(C2010, 0),Sheet2!$A$2:$A$21)</f>
        <v>46297</v>
      </c>
    </row>
    <row r="2011" spans="1:4" x14ac:dyDescent="0.25">
      <c r="A2011" s="42">
        <f t="shared" si="33"/>
        <v>2010</v>
      </c>
      <c r="B2011" s="42" cm="1">
        <f t="array" aca="1" ref="B2011" ca="1">INDEX(Historical!$A$1:$A$18, RANDBETWEEN(1, COUNTA(Historical!$A$1:$A$18)))</f>
        <v>1.3611111111111112</v>
      </c>
      <c r="C2011" s="42">
        <f ca="1">Inputs!$B$2/B2011</f>
        <v>164.57142857142856</v>
      </c>
      <c r="D2011" s="43">
        <f ca="1">WORKDAY(Inputs!$B$3, ROUND(C2011, 0),Sheet2!$A$2:$A$21)</f>
        <v>46259</v>
      </c>
    </row>
    <row r="2012" spans="1:4" x14ac:dyDescent="0.25">
      <c r="A2012" s="42">
        <f t="shared" si="33"/>
        <v>2011</v>
      </c>
      <c r="B2012" s="42" cm="1">
        <f t="array" aca="1" ref="B2012" ca="1">INDEX(Historical!$A$1:$A$18, RANDBETWEEN(1, COUNTA(Historical!$A$1:$A$18)))</f>
        <v>1.290909090909091</v>
      </c>
      <c r="C2012" s="42">
        <f ca="1">Inputs!$B$2/B2012</f>
        <v>173.52112676056336</v>
      </c>
      <c r="D2012" s="43">
        <f ca="1">WORKDAY(Inputs!$B$3, ROUND(C2012, 0),Sheet2!$A$2:$A$21)</f>
        <v>46273</v>
      </c>
    </row>
    <row r="2013" spans="1:4" x14ac:dyDescent="0.25">
      <c r="A2013" s="42">
        <f t="shared" si="33"/>
        <v>2012</v>
      </c>
      <c r="B2013" s="42" cm="1">
        <f t="array" aca="1" ref="B2013" ca="1">INDEX(Historical!$A$1:$A$18, RANDBETWEEN(1, COUNTA(Historical!$A$1:$A$18)))</f>
        <v>1.3559322033898304</v>
      </c>
      <c r="C2013" s="42">
        <f ca="1">Inputs!$B$2/B2013</f>
        <v>165.20000000000002</v>
      </c>
      <c r="D2013" s="43">
        <f ca="1">WORKDAY(Inputs!$B$3, ROUND(C2013, 0),Sheet2!$A$2:$A$21)</f>
        <v>46259</v>
      </c>
    </row>
    <row r="2014" spans="1:4" x14ac:dyDescent="0.25">
      <c r="A2014" s="42">
        <f t="shared" si="33"/>
        <v>2013</v>
      </c>
      <c r="B2014" s="42" cm="1">
        <f t="array" aca="1" ref="B2014" ca="1">INDEX(Historical!$A$1:$A$18, RANDBETWEEN(1, COUNTA(Historical!$A$1:$A$18)))</f>
        <v>1.3157894736842106</v>
      </c>
      <c r="C2014" s="42">
        <f ca="1">Inputs!$B$2/B2014</f>
        <v>170.23999999999998</v>
      </c>
      <c r="D2014" s="43">
        <f ca="1">WORKDAY(Inputs!$B$3, ROUND(C2014, 0),Sheet2!$A$2:$A$21)</f>
        <v>46266</v>
      </c>
    </row>
    <row r="2015" spans="1:4" x14ac:dyDescent="0.25">
      <c r="A2015" s="42">
        <f t="shared" si="33"/>
        <v>2014</v>
      </c>
      <c r="B2015" s="42" cm="1">
        <f t="array" aca="1" ref="B2015" ca="1">INDEX(Historical!$A$1:$A$18, RANDBETWEEN(1, COUNTA(Historical!$A$1:$A$18)))</f>
        <v>1.4347826086956521</v>
      </c>
      <c r="C2015" s="42">
        <f ca="1">Inputs!$B$2/B2015</f>
        <v>156.12121212121212</v>
      </c>
      <c r="D2015" s="43">
        <f ca="1">WORKDAY(Inputs!$B$3, ROUND(C2015, 0),Sheet2!$A$2:$A$21)</f>
        <v>46246</v>
      </c>
    </row>
    <row r="2016" spans="1:4" x14ac:dyDescent="0.25">
      <c r="A2016" s="42">
        <f t="shared" si="33"/>
        <v>2015</v>
      </c>
      <c r="B2016" s="42" cm="1">
        <f t="array" aca="1" ref="B2016" ca="1">INDEX(Historical!$A$1:$A$18, RANDBETWEEN(1, COUNTA(Historical!$A$1:$A$18)))</f>
        <v>1.303030303030303</v>
      </c>
      <c r="C2016" s="42">
        <f ca="1">Inputs!$B$2/B2016</f>
        <v>171.90697674418604</v>
      </c>
      <c r="D2016" s="43">
        <f ca="1">WORKDAY(Inputs!$B$3, ROUND(C2016, 0),Sheet2!$A$2:$A$21)</f>
        <v>46268</v>
      </c>
    </row>
    <row r="2017" spans="1:4" x14ac:dyDescent="0.25">
      <c r="A2017" s="42">
        <f t="shared" si="33"/>
        <v>2016</v>
      </c>
      <c r="B2017" s="42" cm="1">
        <f t="array" aca="1" ref="B2017" ca="1">INDEX(Historical!$A$1:$A$18, RANDBETWEEN(1, COUNTA(Historical!$A$1:$A$18)))</f>
        <v>1.3157894736842106</v>
      </c>
      <c r="C2017" s="42">
        <f ca="1">Inputs!$B$2/B2017</f>
        <v>170.23999999999998</v>
      </c>
      <c r="D2017" s="43">
        <f ca="1">WORKDAY(Inputs!$B$3, ROUND(C2017, 0),Sheet2!$A$2:$A$21)</f>
        <v>46266</v>
      </c>
    </row>
    <row r="2018" spans="1:4" x14ac:dyDescent="0.25">
      <c r="A2018" s="42">
        <f t="shared" si="33"/>
        <v>2017</v>
      </c>
      <c r="B2018" s="42" cm="1">
        <f t="array" aca="1" ref="B2018" ca="1">INDEX(Historical!$A$1:$A$18, RANDBETWEEN(1, COUNTA(Historical!$A$1:$A$18)))</f>
        <v>1.3692307692307693</v>
      </c>
      <c r="C2018" s="42">
        <f ca="1">Inputs!$B$2/B2018</f>
        <v>163.59550561797752</v>
      </c>
      <c r="D2018" s="43">
        <f ca="1">WORKDAY(Inputs!$B$3, ROUND(C2018, 0),Sheet2!$A$2:$A$21)</f>
        <v>46258</v>
      </c>
    </row>
    <row r="2019" spans="1:4" x14ac:dyDescent="0.25">
      <c r="A2019" s="42">
        <f t="shared" si="33"/>
        <v>2018</v>
      </c>
      <c r="B2019" s="42" cm="1">
        <f t="array" aca="1" ref="B2019" ca="1">INDEX(Historical!$A$1:$A$18, RANDBETWEEN(1, COUNTA(Historical!$A$1:$A$18)))</f>
        <v>1.303030303030303</v>
      </c>
      <c r="C2019" s="42">
        <f ca="1">Inputs!$B$2/B2019</f>
        <v>171.90697674418604</v>
      </c>
      <c r="D2019" s="43">
        <f ca="1">WORKDAY(Inputs!$B$3, ROUND(C2019, 0),Sheet2!$A$2:$A$21)</f>
        <v>46268</v>
      </c>
    </row>
    <row r="2020" spans="1:4" x14ac:dyDescent="0.25">
      <c r="A2020" s="42">
        <f t="shared" si="33"/>
        <v>2019</v>
      </c>
      <c r="B2020" s="42" cm="1">
        <f t="array" aca="1" ref="B2020" ca="1">INDEX(Historical!$A$1:$A$18, RANDBETWEEN(1, COUNTA(Historical!$A$1:$A$18)))</f>
        <v>1.4038461538461537</v>
      </c>
      <c r="C2020" s="42">
        <f ca="1">Inputs!$B$2/B2020</f>
        <v>159.56164383561645</v>
      </c>
      <c r="D2020" s="43">
        <f ca="1">WORKDAY(Inputs!$B$3, ROUND(C2020, 0),Sheet2!$A$2:$A$21)</f>
        <v>46252</v>
      </c>
    </row>
    <row r="2021" spans="1:4" x14ac:dyDescent="0.25">
      <c r="A2021" s="42">
        <f t="shared" si="33"/>
        <v>2020</v>
      </c>
      <c r="B2021" s="42" cm="1">
        <f t="array" aca="1" ref="B2021" ca="1">INDEX(Historical!$A$1:$A$18, RANDBETWEEN(1, COUNTA(Historical!$A$1:$A$18)))</f>
        <v>1.4347826086956521</v>
      </c>
      <c r="C2021" s="42">
        <f ca="1">Inputs!$B$2/B2021</f>
        <v>156.12121212121212</v>
      </c>
      <c r="D2021" s="43">
        <f ca="1">WORKDAY(Inputs!$B$3, ROUND(C2021, 0),Sheet2!$A$2:$A$21)</f>
        <v>46246</v>
      </c>
    </row>
    <row r="2022" spans="1:4" x14ac:dyDescent="0.25">
      <c r="A2022" s="42">
        <f t="shared" si="33"/>
        <v>2021</v>
      </c>
      <c r="B2022" s="42" cm="1">
        <f t="array" aca="1" ref="B2022" ca="1">INDEX(Historical!$A$1:$A$18, RANDBETWEEN(1, COUNTA(Historical!$A$1:$A$18)))</f>
        <v>1.375</v>
      </c>
      <c r="C2022" s="42">
        <f ca="1">Inputs!$B$2/B2022</f>
        <v>162.90909090909091</v>
      </c>
      <c r="D2022" s="43">
        <f ca="1">WORKDAY(Inputs!$B$3, ROUND(C2022, 0),Sheet2!$A$2:$A$21)</f>
        <v>46255</v>
      </c>
    </row>
    <row r="2023" spans="1:4" x14ac:dyDescent="0.25">
      <c r="A2023" s="42">
        <f t="shared" si="33"/>
        <v>2022</v>
      </c>
      <c r="B2023" s="42" cm="1">
        <f t="array" aca="1" ref="B2023" ca="1">INDEX(Historical!$A$1:$A$18, RANDBETWEEN(1, COUNTA(Historical!$A$1:$A$18)))</f>
        <v>1.3559322033898304</v>
      </c>
      <c r="C2023" s="42">
        <f ca="1">Inputs!$B$2/B2023</f>
        <v>165.20000000000002</v>
      </c>
      <c r="D2023" s="43">
        <f ca="1">WORKDAY(Inputs!$B$3, ROUND(C2023, 0),Sheet2!$A$2:$A$21)</f>
        <v>46259</v>
      </c>
    </row>
    <row r="2024" spans="1:4" x14ac:dyDescent="0.25">
      <c r="A2024" s="42">
        <f t="shared" si="33"/>
        <v>2023</v>
      </c>
      <c r="B2024" s="42" cm="1">
        <f t="array" aca="1" ref="B2024" ca="1">INDEX(Historical!$A$1:$A$18, RANDBETWEEN(1, COUNTA(Historical!$A$1:$A$18)))</f>
        <v>1.303030303030303</v>
      </c>
      <c r="C2024" s="42">
        <f ca="1">Inputs!$B$2/B2024</f>
        <v>171.90697674418604</v>
      </c>
      <c r="D2024" s="43">
        <f ca="1">WORKDAY(Inputs!$B$3, ROUND(C2024, 0),Sheet2!$A$2:$A$21)</f>
        <v>46268</v>
      </c>
    </row>
    <row r="2025" spans="1:4" x14ac:dyDescent="0.25">
      <c r="A2025" s="42">
        <f t="shared" si="33"/>
        <v>2024</v>
      </c>
      <c r="B2025" s="42" cm="1">
        <f t="array" aca="1" ref="B2025" ca="1">INDEX(Historical!$A$1:$A$18, RANDBETWEEN(1, COUNTA(Historical!$A$1:$A$18)))</f>
        <v>1.3559322033898304</v>
      </c>
      <c r="C2025" s="42">
        <f ca="1">Inputs!$B$2/B2025</f>
        <v>165.20000000000002</v>
      </c>
      <c r="D2025" s="43">
        <f ca="1">WORKDAY(Inputs!$B$3, ROUND(C2025, 0),Sheet2!$A$2:$A$21)</f>
        <v>46259</v>
      </c>
    </row>
    <row r="2026" spans="1:4" x14ac:dyDescent="0.25">
      <c r="A2026" s="42">
        <f t="shared" si="33"/>
        <v>2025</v>
      </c>
      <c r="B2026" s="42" cm="1">
        <f t="array" aca="1" ref="B2026" ca="1">INDEX(Historical!$A$1:$A$18, RANDBETWEEN(1, COUNTA(Historical!$A$1:$A$18)))</f>
        <v>1.2941176470588236</v>
      </c>
      <c r="C2026" s="42">
        <f ca="1">Inputs!$B$2/B2026</f>
        <v>173.09090909090909</v>
      </c>
      <c r="D2026" s="43">
        <f ca="1">WORKDAY(Inputs!$B$3, ROUND(C2026, 0),Sheet2!$A$2:$A$21)</f>
        <v>46269</v>
      </c>
    </row>
    <row r="2027" spans="1:4" x14ac:dyDescent="0.25">
      <c r="A2027" s="42">
        <f t="shared" si="33"/>
        <v>2026</v>
      </c>
      <c r="B2027" s="42" cm="1">
        <f t="array" aca="1" ref="B2027" ca="1">INDEX(Historical!$A$1:$A$18, RANDBETWEEN(1, COUNTA(Historical!$A$1:$A$18)))</f>
        <v>1.3707865168539326</v>
      </c>
      <c r="C2027" s="42">
        <f ca="1">Inputs!$B$2/B2027</f>
        <v>163.40983606557376</v>
      </c>
      <c r="D2027" s="43">
        <f ca="1">WORKDAY(Inputs!$B$3, ROUND(C2027, 0),Sheet2!$A$2:$A$21)</f>
        <v>46255</v>
      </c>
    </row>
    <row r="2028" spans="1:4" x14ac:dyDescent="0.25">
      <c r="A2028" s="42">
        <f t="shared" si="33"/>
        <v>2027</v>
      </c>
      <c r="B2028" s="42" cm="1">
        <f t="array" aca="1" ref="B2028" ca="1">INDEX(Historical!$A$1:$A$18, RANDBETWEEN(1, COUNTA(Historical!$A$1:$A$18)))</f>
        <v>1.290909090909091</v>
      </c>
      <c r="C2028" s="42">
        <f ca="1">Inputs!$B$2/B2028</f>
        <v>173.52112676056336</v>
      </c>
      <c r="D2028" s="43">
        <f ca="1">WORKDAY(Inputs!$B$3, ROUND(C2028, 0),Sheet2!$A$2:$A$21)</f>
        <v>46273</v>
      </c>
    </row>
    <row r="2029" spans="1:4" x14ac:dyDescent="0.25">
      <c r="A2029" s="42">
        <f t="shared" si="33"/>
        <v>2028</v>
      </c>
      <c r="B2029" s="42" cm="1">
        <f t="array" aca="1" ref="B2029" ca="1">INDEX(Historical!$A$1:$A$18, RANDBETWEEN(1, COUNTA(Historical!$A$1:$A$18)))</f>
        <v>1.3617021276595744</v>
      </c>
      <c r="C2029" s="42">
        <f ca="1">Inputs!$B$2/B2029</f>
        <v>164.5</v>
      </c>
      <c r="D2029" s="43">
        <f ca="1">WORKDAY(Inputs!$B$3, ROUND(C2029, 0),Sheet2!$A$2:$A$21)</f>
        <v>46259</v>
      </c>
    </row>
    <row r="2030" spans="1:4" x14ac:dyDescent="0.25">
      <c r="A2030" s="42">
        <f t="shared" si="33"/>
        <v>2029</v>
      </c>
      <c r="B2030" s="42" cm="1">
        <f t="array" aca="1" ref="B2030" ca="1">INDEX(Historical!$A$1:$A$18, RANDBETWEEN(1, COUNTA(Historical!$A$1:$A$18)))</f>
        <v>1.4038461538461537</v>
      </c>
      <c r="C2030" s="42">
        <f ca="1">Inputs!$B$2/B2030</f>
        <v>159.56164383561645</v>
      </c>
      <c r="D2030" s="43">
        <f ca="1">WORKDAY(Inputs!$B$3, ROUND(C2030, 0),Sheet2!$A$2:$A$21)</f>
        <v>46252</v>
      </c>
    </row>
    <row r="2031" spans="1:4" x14ac:dyDescent="0.25">
      <c r="A2031" s="42">
        <f t="shared" si="33"/>
        <v>2030</v>
      </c>
      <c r="B2031" s="42" cm="1">
        <f t="array" aca="1" ref="B2031" ca="1">INDEX(Historical!$A$1:$A$18, RANDBETWEEN(1, COUNTA(Historical!$A$1:$A$18)))</f>
        <v>1.3707865168539326</v>
      </c>
      <c r="C2031" s="42">
        <f ca="1">Inputs!$B$2/B2031</f>
        <v>163.40983606557376</v>
      </c>
      <c r="D2031" s="43">
        <f ca="1">WORKDAY(Inputs!$B$3, ROUND(C2031, 0),Sheet2!$A$2:$A$21)</f>
        <v>46255</v>
      </c>
    </row>
    <row r="2032" spans="1:4" x14ac:dyDescent="0.25">
      <c r="A2032" s="42">
        <f t="shared" si="33"/>
        <v>2031</v>
      </c>
      <c r="B2032" s="42" cm="1">
        <f t="array" aca="1" ref="B2032" ca="1">INDEX(Historical!$A$1:$A$18, RANDBETWEEN(1, COUNTA(Historical!$A$1:$A$18)))</f>
        <v>1.3617021276595744</v>
      </c>
      <c r="C2032" s="42">
        <f ca="1">Inputs!$B$2/B2032</f>
        <v>164.5</v>
      </c>
      <c r="D2032" s="43">
        <f ca="1">WORKDAY(Inputs!$B$3, ROUND(C2032, 0),Sheet2!$A$2:$A$21)</f>
        <v>46259</v>
      </c>
    </row>
    <row r="2033" spans="1:4" x14ac:dyDescent="0.25">
      <c r="A2033" s="42">
        <f t="shared" si="33"/>
        <v>2032</v>
      </c>
      <c r="B2033" s="42" cm="1">
        <f t="array" aca="1" ref="B2033" ca="1">INDEX(Historical!$A$1:$A$18, RANDBETWEEN(1, COUNTA(Historical!$A$1:$A$18)))</f>
        <v>1.368421052631579</v>
      </c>
      <c r="C2033" s="42">
        <f ca="1">Inputs!$B$2/B2033</f>
        <v>163.69230769230768</v>
      </c>
      <c r="D2033" s="43">
        <f ca="1">WORKDAY(Inputs!$B$3, ROUND(C2033, 0),Sheet2!$A$2:$A$21)</f>
        <v>46258</v>
      </c>
    </row>
    <row r="2034" spans="1:4" x14ac:dyDescent="0.25">
      <c r="A2034" s="42">
        <f t="shared" si="33"/>
        <v>2033</v>
      </c>
      <c r="B2034" s="42" cm="1">
        <f t="array" aca="1" ref="B2034" ca="1">INDEX(Historical!$A$1:$A$18, RANDBETWEEN(1, COUNTA(Historical!$A$1:$A$18)))</f>
        <v>1.4347826086956521</v>
      </c>
      <c r="C2034" s="42">
        <f ca="1">Inputs!$B$2/B2034</f>
        <v>156.12121212121212</v>
      </c>
      <c r="D2034" s="43">
        <f ca="1">WORKDAY(Inputs!$B$3, ROUND(C2034, 0),Sheet2!$A$2:$A$21)</f>
        <v>46246</v>
      </c>
    </row>
    <row r="2035" spans="1:4" x14ac:dyDescent="0.25">
      <c r="A2035" s="42">
        <f t="shared" si="33"/>
        <v>2034</v>
      </c>
      <c r="B2035" s="42" cm="1">
        <f t="array" aca="1" ref="B2035" ca="1">INDEX(Historical!$A$1:$A$18, RANDBETWEEN(1, COUNTA(Historical!$A$1:$A$18)))</f>
        <v>1.3611111111111112</v>
      </c>
      <c r="C2035" s="42">
        <f ca="1">Inputs!$B$2/B2035</f>
        <v>164.57142857142856</v>
      </c>
      <c r="D2035" s="43">
        <f ca="1">WORKDAY(Inputs!$B$3, ROUND(C2035, 0),Sheet2!$A$2:$A$21)</f>
        <v>46259</v>
      </c>
    </row>
    <row r="2036" spans="1:4" x14ac:dyDescent="0.25">
      <c r="A2036" s="42">
        <f t="shared" si="33"/>
        <v>2035</v>
      </c>
      <c r="B2036" s="42" cm="1">
        <f t="array" aca="1" ref="B2036" ca="1">INDEX(Historical!$A$1:$A$18, RANDBETWEEN(1, COUNTA(Historical!$A$1:$A$18)))</f>
        <v>1.4038461538461537</v>
      </c>
      <c r="C2036" s="42">
        <f ca="1">Inputs!$B$2/B2036</f>
        <v>159.56164383561645</v>
      </c>
      <c r="D2036" s="43">
        <f ca="1">WORKDAY(Inputs!$B$3, ROUND(C2036, 0),Sheet2!$A$2:$A$21)</f>
        <v>46252</v>
      </c>
    </row>
    <row r="2037" spans="1:4" x14ac:dyDescent="0.25">
      <c r="A2037" s="42">
        <f t="shared" si="33"/>
        <v>2036</v>
      </c>
      <c r="B2037" s="42" cm="1">
        <f t="array" aca="1" ref="B2037" ca="1">INDEX(Historical!$A$1:$A$18, RANDBETWEEN(1, COUNTA(Historical!$A$1:$A$18)))</f>
        <v>1.375</v>
      </c>
      <c r="C2037" s="42">
        <f ca="1">Inputs!$B$2/B2037</f>
        <v>162.90909090909091</v>
      </c>
      <c r="D2037" s="43">
        <f ca="1">WORKDAY(Inputs!$B$3, ROUND(C2037, 0),Sheet2!$A$2:$A$21)</f>
        <v>46255</v>
      </c>
    </row>
    <row r="2038" spans="1:4" x14ac:dyDescent="0.25">
      <c r="A2038" s="42">
        <f t="shared" si="33"/>
        <v>2037</v>
      </c>
      <c r="B2038" s="42" cm="1">
        <f t="array" aca="1" ref="B2038" ca="1">INDEX(Historical!$A$1:$A$18, RANDBETWEEN(1, COUNTA(Historical!$A$1:$A$18)))</f>
        <v>1.3692307692307693</v>
      </c>
      <c r="C2038" s="42">
        <f ca="1">Inputs!$B$2/B2038</f>
        <v>163.59550561797752</v>
      </c>
      <c r="D2038" s="43">
        <f ca="1">WORKDAY(Inputs!$B$3, ROUND(C2038, 0),Sheet2!$A$2:$A$21)</f>
        <v>46258</v>
      </c>
    </row>
    <row r="2039" spans="1:4" x14ac:dyDescent="0.25">
      <c r="A2039" s="42">
        <f t="shared" si="33"/>
        <v>2038</v>
      </c>
      <c r="B2039" s="42" cm="1">
        <f t="array" aca="1" ref="B2039" ca="1">INDEX(Historical!$A$1:$A$18, RANDBETWEEN(1, COUNTA(Historical!$A$1:$A$18)))</f>
        <v>1.3707865168539326</v>
      </c>
      <c r="C2039" s="42">
        <f ca="1">Inputs!$B$2/B2039</f>
        <v>163.40983606557376</v>
      </c>
      <c r="D2039" s="43">
        <f ca="1">WORKDAY(Inputs!$B$3, ROUND(C2039, 0),Sheet2!$A$2:$A$21)</f>
        <v>46255</v>
      </c>
    </row>
    <row r="2040" spans="1:4" x14ac:dyDescent="0.25">
      <c r="A2040" s="42">
        <f t="shared" si="33"/>
        <v>2039</v>
      </c>
      <c r="B2040" s="42" cm="1">
        <f t="array" aca="1" ref="B2040" ca="1">INDEX(Historical!$A$1:$A$18, RANDBETWEEN(1, COUNTA(Historical!$A$1:$A$18)))</f>
        <v>1.3707865168539326</v>
      </c>
      <c r="C2040" s="42">
        <f ca="1">Inputs!$B$2/B2040</f>
        <v>163.40983606557376</v>
      </c>
      <c r="D2040" s="43">
        <f ca="1">WORKDAY(Inputs!$B$3, ROUND(C2040, 0),Sheet2!$A$2:$A$21)</f>
        <v>46255</v>
      </c>
    </row>
    <row r="2041" spans="1:4" x14ac:dyDescent="0.25">
      <c r="A2041" s="42">
        <f t="shared" si="33"/>
        <v>2040</v>
      </c>
      <c r="B2041" s="42" cm="1">
        <f t="array" aca="1" ref="B2041" ca="1">INDEX(Historical!$A$1:$A$18, RANDBETWEEN(1, COUNTA(Historical!$A$1:$A$18)))</f>
        <v>1.375</v>
      </c>
      <c r="C2041" s="42">
        <f ca="1">Inputs!$B$2/B2041</f>
        <v>162.90909090909091</v>
      </c>
      <c r="D2041" s="43">
        <f ca="1">WORKDAY(Inputs!$B$3, ROUND(C2041, 0),Sheet2!$A$2:$A$21)</f>
        <v>46255</v>
      </c>
    </row>
    <row r="2042" spans="1:4" x14ac:dyDescent="0.25">
      <c r="A2042" s="42">
        <f t="shared" si="33"/>
        <v>2041</v>
      </c>
      <c r="B2042" s="42" cm="1">
        <f t="array" aca="1" ref="B2042" ca="1">INDEX(Historical!$A$1:$A$18, RANDBETWEEN(1, COUNTA(Historical!$A$1:$A$18)))</f>
        <v>1.5</v>
      </c>
      <c r="C2042" s="42">
        <f ca="1">Inputs!$B$2/B2042</f>
        <v>149.33333333333334</v>
      </c>
      <c r="D2042" s="43">
        <f ca="1">WORKDAY(Inputs!$B$3, ROUND(C2042, 0),Sheet2!$A$2:$A$21)</f>
        <v>46237</v>
      </c>
    </row>
    <row r="2043" spans="1:4" x14ac:dyDescent="0.25">
      <c r="A2043" s="42">
        <f t="shared" si="33"/>
        <v>2042</v>
      </c>
      <c r="B2043" s="42" cm="1">
        <f t="array" aca="1" ref="B2043" ca="1">INDEX(Historical!$A$1:$A$18, RANDBETWEEN(1, COUNTA(Historical!$A$1:$A$18)))</f>
        <v>1.3559322033898304</v>
      </c>
      <c r="C2043" s="42">
        <f ca="1">Inputs!$B$2/B2043</f>
        <v>165.20000000000002</v>
      </c>
      <c r="D2043" s="43">
        <f ca="1">WORKDAY(Inputs!$B$3, ROUND(C2043, 0),Sheet2!$A$2:$A$21)</f>
        <v>46259</v>
      </c>
    </row>
    <row r="2044" spans="1:4" x14ac:dyDescent="0.25">
      <c r="A2044" s="42">
        <f t="shared" si="33"/>
        <v>2043</v>
      </c>
      <c r="B2044" s="42" cm="1">
        <f t="array" aca="1" ref="B2044" ca="1">INDEX(Historical!$A$1:$A$18, RANDBETWEEN(1, COUNTA(Historical!$A$1:$A$18)))</f>
        <v>1.4761904761904763</v>
      </c>
      <c r="C2044" s="42">
        <f ca="1">Inputs!$B$2/B2044</f>
        <v>151.74193548387095</v>
      </c>
      <c r="D2044" s="43">
        <f ca="1">WORKDAY(Inputs!$B$3, ROUND(C2044, 0),Sheet2!$A$2:$A$21)</f>
        <v>46240</v>
      </c>
    </row>
    <row r="2045" spans="1:4" x14ac:dyDescent="0.25">
      <c r="A2045" s="42">
        <f t="shared" si="33"/>
        <v>2044</v>
      </c>
      <c r="B2045" s="42" cm="1">
        <f t="array" aca="1" ref="B2045" ca="1">INDEX(Historical!$A$1:$A$18, RANDBETWEEN(1, COUNTA(Historical!$A$1:$A$18)))</f>
        <v>1.3692307692307693</v>
      </c>
      <c r="C2045" s="42">
        <f ca="1">Inputs!$B$2/B2045</f>
        <v>163.59550561797752</v>
      </c>
      <c r="D2045" s="43">
        <f ca="1">WORKDAY(Inputs!$B$3, ROUND(C2045, 0),Sheet2!$A$2:$A$21)</f>
        <v>46258</v>
      </c>
    </row>
    <row r="2046" spans="1:4" x14ac:dyDescent="0.25">
      <c r="A2046" s="42">
        <f t="shared" si="33"/>
        <v>2045</v>
      </c>
      <c r="B2046" s="42" cm="1">
        <f t="array" aca="1" ref="B2046" ca="1">INDEX(Historical!$A$1:$A$18, RANDBETWEEN(1, COUNTA(Historical!$A$1:$A$18)))</f>
        <v>1.375</v>
      </c>
      <c r="C2046" s="42">
        <f ca="1">Inputs!$B$2/B2046</f>
        <v>162.90909090909091</v>
      </c>
      <c r="D2046" s="43">
        <f ca="1">WORKDAY(Inputs!$B$3, ROUND(C2046, 0),Sheet2!$A$2:$A$21)</f>
        <v>46255</v>
      </c>
    </row>
    <row r="2047" spans="1:4" x14ac:dyDescent="0.25">
      <c r="A2047" s="42">
        <f t="shared" si="33"/>
        <v>2046</v>
      </c>
      <c r="B2047" s="42" cm="1">
        <f t="array" aca="1" ref="B2047" ca="1">INDEX(Historical!$A$1:$A$18, RANDBETWEEN(1, COUNTA(Historical!$A$1:$A$18)))</f>
        <v>1.3157894736842106</v>
      </c>
      <c r="C2047" s="42">
        <f ca="1">Inputs!$B$2/B2047</f>
        <v>170.23999999999998</v>
      </c>
      <c r="D2047" s="43">
        <f ca="1">WORKDAY(Inputs!$B$3, ROUND(C2047, 0),Sheet2!$A$2:$A$21)</f>
        <v>46266</v>
      </c>
    </row>
    <row r="2048" spans="1:4" x14ac:dyDescent="0.25">
      <c r="A2048" s="42">
        <f t="shared" si="33"/>
        <v>2047</v>
      </c>
      <c r="B2048" s="42" cm="1">
        <f t="array" aca="1" ref="B2048" ca="1">INDEX(Historical!$A$1:$A$18, RANDBETWEEN(1, COUNTA(Historical!$A$1:$A$18)))</f>
        <v>1.1666666666666667</v>
      </c>
      <c r="C2048" s="42">
        <f ca="1">Inputs!$B$2/B2048</f>
        <v>192</v>
      </c>
      <c r="D2048" s="43">
        <f ca="1">WORKDAY(Inputs!$B$3, ROUND(C2048, 0),Sheet2!$A$2:$A$21)</f>
        <v>46297</v>
      </c>
    </row>
    <row r="2049" spans="1:4" x14ac:dyDescent="0.25">
      <c r="A2049" s="42">
        <f t="shared" si="33"/>
        <v>2048</v>
      </c>
      <c r="B2049" s="42" cm="1">
        <f t="array" aca="1" ref="B2049" ca="1">INDEX(Historical!$A$1:$A$18, RANDBETWEEN(1, COUNTA(Historical!$A$1:$A$18)))</f>
        <v>1.3611111111111112</v>
      </c>
      <c r="C2049" s="42">
        <f ca="1">Inputs!$B$2/B2049</f>
        <v>164.57142857142856</v>
      </c>
      <c r="D2049" s="43">
        <f ca="1">WORKDAY(Inputs!$B$3, ROUND(C2049, 0),Sheet2!$A$2:$A$21)</f>
        <v>46259</v>
      </c>
    </row>
    <row r="2050" spans="1:4" x14ac:dyDescent="0.25">
      <c r="A2050" s="42">
        <f t="shared" si="33"/>
        <v>2049</v>
      </c>
      <c r="B2050" s="42" cm="1">
        <f t="array" aca="1" ref="B2050" ca="1">INDEX(Historical!$A$1:$A$18, RANDBETWEEN(1, COUNTA(Historical!$A$1:$A$18)))</f>
        <v>1.3611111111111112</v>
      </c>
      <c r="C2050" s="42">
        <f ca="1">Inputs!$B$2/B2050</f>
        <v>164.57142857142856</v>
      </c>
      <c r="D2050" s="43">
        <f ca="1">WORKDAY(Inputs!$B$3, ROUND(C2050, 0),Sheet2!$A$2:$A$21)</f>
        <v>46259</v>
      </c>
    </row>
    <row r="2051" spans="1:4" x14ac:dyDescent="0.25">
      <c r="A2051" s="42">
        <f t="shared" ref="A2051:A2114" si="34">ROW()-1</f>
        <v>2050</v>
      </c>
      <c r="B2051" s="42" cm="1">
        <f t="array" aca="1" ref="B2051" ca="1">INDEX(Historical!$A$1:$A$18, RANDBETWEEN(1, COUNTA(Historical!$A$1:$A$18)))</f>
        <v>1.3617021276595744</v>
      </c>
      <c r="C2051" s="42">
        <f ca="1">Inputs!$B$2/B2051</f>
        <v>164.5</v>
      </c>
      <c r="D2051" s="43">
        <f ca="1">WORKDAY(Inputs!$B$3, ROUND(C2051, 0),Sheet2!$A$2:$A$21)</f>
        <v>46259</v>
      </c>
    </row>
    <row r="2052" spans="1:4" x14ac:dyDescent="0.25">
      <c r="A2052" s="42">
        <f t="shared" si="34"/>
        <v>2051</v>
      </c>
      <c r="B2052" s="42" cm="1">
        <f t="array" aca="1" ref="B2052" ca="1">INDEX(Historical!$A$1:$A$18, RANDBETWEEN(1, COUNTA(Historical!$A$1:$A$18)))</f>
        <v>1.375</v>
      </c>
      <c r="C2052" s="42">
        <f ca="1">Inputs!$B$2/B2052</f>
        <v>162.90909090909091</v>
      </c>
      <c r="D2052" s="43">
        <f ca="1">WORKDAY(Inputs!$B$3, ROUND(C2052, 0),Sheet2!$A$2:$A$21)</f>
        <v>46255</v>
      </c>
    </row>
    <row r="2053" spans="1:4" x14ac:dyDescent="0.25">
      <c r="A2053" s="42">
        <f t="shared" si="34"/>
        <v>2052</v>
      </c>
      <c r="B2053" s="42" cm="1">
        <f t="array" aca="1" ref="B2053" ca="1">INDEX(Historical!$A$1:$A$18, RANDBETWEEN(1, COUNTA(Historical!$A$1:$A$18)))</f>
        <v>1.368421052631579</v>
      </c>
      <c r="C2053" s="42">
        <f ca="1">Inputs!$B$2/B2053</f>
        <v>163.69230769230768</v>
      </c>
      <c r="D2053" s="43">
        <f ca="1">WORKDAY(Inputs!$B$3, ROUND(C2053, 0),Sheet2!$A$2:$A$21)</f>
        <v>46258</v>
      </c>
    </row>
    <row r="2054" spans="1:4" x14ac:dyDescent="0.25">
      <c r="A2054" s="42">
        <f t="shared" si="34"/>
        <v>2053</v>
      </c>
      <c r="B2054" s="42" cm="1">
        <f t="array" aca="1" ref="B2054" ca="1">INDEX(Historical!$A$1:$A$18, RANDBETWEEN(1, COUNTA(Historical!$A$1:$A$18)))</f>
        <v>1.4038461538461537</v>
      </c>
      <c r="C2054" s="42">
        <f ca="1">Inputs!$B$2/B2054</f>
        <v>159.56164383561645</v>
      </c>
      <c r="D2054" s="43">
        <f ca="1">WORKDAY(Inputs!$B$3, ROUND(C2054, 0),Sheet2!$A$2:$A$21)</f>
        <v>46252</v>
      </c>
    </row>
    <row r="2055" spans="1:4" x14ac:dyDescent="0.25">
      <c r="A2055" s="42">
        <f t="shared" si="34"/>
        <v>2054</v>
      </c>
      <c r="B2055" s="42" cm="1">
        <f t="array" aca="1" ref="B2055" ca="1">INDEX(Historical!$A$1:$A$18, RANDBETWEEN(1, COUNTA(Historical!$A$1:$A$18)))</f>
        <v>1.4761904761904763</v>
      </c>
      <c r="C2055" s="42">
        <f ca="1">Inputs!$B$2/B2055</f>
        <v>151.74193548387095</v>
      </c>
      <c r="D2055" s="43">
        <f ca="1">WORKDAY(Inputs!$B$3, ROUND(C2055, 0),Sheet2!$A$2:$A$21)</f>
        <v>46240</v>
      </c>
    </row>
    <row r="2056" spans="1:4" x14ac:dyDescent="0.25">
      <c r="A2056" s="42">
        <f t="shared" si="34"/>
        <v>2055</v>
      </c>
      <c r="B2056" s="42" cm="1">
        <f t="array" aca="1" ref="B2056" ca="1">INDEX(Historical!$A$1:$A$18, RANDBETWEEN(1, COUNTA(Historical!$A$1:$A$18)))</f>
        <v>1.4137931034482758</v>
      </c>
      <c r="C2056" s="42">
        <f ca="1">Inputs!$B$2/B2056</f>
        <v>158.4390243902439</v>
      </c>
      <c r="D2056" s="43">
        <f ca="1">WORKDAY(Inputs!$B$3, ROUND(C2056, 0),Sheet2!$A$2:$A$21)</f>
        <v>46248</v>
      </c>
    </row>
    <row r="2057" spans="1:4" x14ac:dyDescent="0.25">
      <c r="A2057" s="42">
        <f t="shared" si="34"/>
        <v>2056</v>
      </c>
      <c r="B2057" s="42" cm="1">
        <f t="array" aca="1" ref="B2057" ca="1">INDEX(Historical!$A$1:$A$18, RANDBETWEEN(1, COUNTA(Historical!$A$1:$A$18)))</f>
        <v>1.368421052631579</v>
      </c>
      <c r="C2057" s="42">
        <f ca="1">Inputs!$B$2/B2057</f>
        <v>163.69230769230768</v>
      </c>
      <c r="D2057" s="43">
        <f ca="1">WORKDAY(Inputs!$B$3, ROUND(C2057, 0),Sheet2!$A$2:$A$21)</f>
        <v>46258</v>
      </c>
    </row>
    <row r="2058" spans="1:4" x14ac:dyDescent="0.25">
      <c r="A2058" s="42">
        <f t="shared" si="34"/>
        <v>2057</v>
      </c>
      <c r="B2058" s="42" cm="1">
        <f t="array" aca="1" ref="B2058" ca="1">INDEX(Historical!$A$1:$A$18, RANDBETWEEN(1, COUNTA(Historical!$A$1:$A$18)))</f>
        <v>1.4347826086956521</v>
      </c>
      <c r="C2058" s="42">
        <f ca="1">Inputs!$B$2/B2058</f>
        <v>156.12121212121212</v>
      </c>
      <c r="D2058" s="43">
        <f ca="1">WORKDAY(Inputs!$B$3, ROUND(C2058, 0),Sheet2!$A$2:$A$21)</f>
        <v>46246</v>
      </c>
    </row>
    <row r="2059" spans="1:4" x14ac:dyDescent="0.25">
      <c r="A2059" s="42">
        <f t="shared" si="34"/>
        <v>2058</v>
      </c>
      <c r="B2059" s="42" cm="1">
        <f t="array" aca="1" ref="B2059" ca="1">INDEX(Historical!$A$1:$A$18, RANDBETWEEN(1, COUNTA(Historical!$A$1:$A$18)))</f>
        <v>1.368421052631579</v>
      </c>
      <c r="C2059" s="42">
        <f ca="1">Inputs!$B$2/B2059</f>
        <v>163.69230769230768</v>
      </c>
      <c r="D2059" s="43">
        <f ca="1">WORKDAY(Inputs!$B$3, ROUND(C2059, 0),Sheet2!$A$2:$A$21)</f>
        <v>46258</v>
      </c>
    </row>
    <row r="2060" spans="1:4" x14ac:dyDescent="0.25">
      <c r="A2060" s="42">
        <f t="shared" si="34"/>
        <v>2059</v>
      </c>
      <c r="B2060" s="42" cm="1">
        <f t="array" aca="1" ref="B2060" ca="1">INDEX(Historical!$A$1:$A$18, RANDBETWEEN(1, COUNTA(Historical!$A$1:$A$18)))</f>
        <v>1.368421052631579</v>
      </c>
      <c r="C2060" s="42">
        <f ca="1">Inputs!$B$2/B2060</f>
        <v>163.69230769230768</v>
      </c>
      <c r="D2060" s="43">
        <f ca="1">WORKDAY(Inputs!$B$3, ROUND(C2060, 0),Sheet2!$A$2:$A$21)</f>
        <v>46258</v>
      </c>
    </row>
    <row r="2061" spans="1:4" x14ac:dyDescent="0.25">
      <c r="A2061" s="42">
        <f t="shared" si="34"/>
        <v>2060</v>
      </c>
      <c r="B2061" s="42" cm="1">
        <f t="array" aca="1" ref="B2061" ca="1">INDEX(Historical!$A$1:$A$18, RANDBETWEEN(1, COUNTA(Historical!$A$1:$A$18)))</f>
        <v>1.4761904761904763</v>
      </c>
      <c r="C2061" s="42">
        <f ca="1">Inputs!$B$2/B2061</f>
        <v>151.74193548387095</v>
      </c>
      <c r="D2061" s="43">
        <f ca="1">WORKDAY(Inputs!$B$3, ROUND(C2061, 0),Sheet2!$A$2:$A$21)</f>
        <v>46240</v>
      </c>
    </row>
    <row r="2062" spans="1:4" x14ac:dyDescent="0.25">
      <c r="A2062" s="42">
        <f t="shared" si="34"/>
        <v>2061</v>
      </c>
      <c r="B2062" s="42" cm="1">
        <f t="array" aca="1" ref="B2062" ca="1">INDEX(Historical!$A$1:$A$18, RANDBETWEEN(1, COUNTA(Historical!$A$1:$A$18)))</f>
        <v>1.368421052631579</v>
      </c>
      <c r="C2062" s="42">
        <f ca="1">Inputs!$B$2/B2062</f>
        <v>163.69230769230768</v>
      </c>
      <c r="D2062" s="43">
        <f ca="1">WORKDAY(Inputs!$B$3, ROUND(C2062, 0),Sheet2!$A$2:$A$21)</f>
        <v>46258</v>
      </c>
    </row>
    <row r="2063" spans="1:4" x14ac:dyDescent="0.25">
      <c r="A2063" s="42">
        <f t="shared" si="34"/>
        <v>2062</v>
      </c>
      <c r="B2063" s="42" cm="1">
        <f t="array" aca="1" ref="B2063" ca="1">INDEX(Historical!$A$1:$A$18, RANDBETWEEN(1, COUNTA(Historical!$A$1:$A$18)))</f>
        <v>1.3214285714285714</v>
      </c>
      <c r="C2063" s="42">
        <f ca="1">Inputs!$B$2/B2063</f>
        <v>169.51351351351352</v>
      </c>
      <c r="D2063" s="43">
        <f ca="1">WORKDAY(Inputs!$B$3, ROUND(C2063, 0),Sheet2!$A$2:$A$21)</f>
        <v>46266</v>
      </c>
    </row>
    <row r="2064" spans="1:4" x14ac:dyDescent="0.25">
      <c r="A2064" s="42">
        <f t="shared" si="34"/>
        <v>2063</v>
      </c>
      <c r="B2064" s="42" cm="1">
        <f t="array" aca="1" ref="B2064" ca="1">INDEX(Historical!$A$1:$A$18, RANDBETWEEN(1, COUNTA(Historical!$A$1:$A$18)))</f>
        <v>1.4137931034482758</v>
      </c>
      <c r="C2064" s="42">
        <f ca="1">Inputs!$B$2/B2064</f>
        <v>158.4390243902439</v>
      </c>
      <c r="D2064" s="43">
        <f ca="1">WORKDAY(Inputs!$B$3, ROUND(C2064, 0),Sheet2!$A$2:$A$21)</f>
        <v>46248</v>
      </c>
    </row>
    <row r="2065" spans="1:4" x14ac:dyDescent="0.25">
      <c r="A2065" s="42">
        <f t="shared" si="34"/>
        <v>2064</v>
      </c>
      <c r="B2065" s="42" cm="1">
        <f t="array" aca="1" ref="B2065" ca="1">INDEX(Historical!$A$1:$A$18, RANDBETWEEN(1, COUNTA(Historical!$A$1:$A$18)))</f>
        <v>1.4137931034482758</v>
      </c>
      <c r="C2065" s="42">
        <f ca="1">Inputs!$B$2/B2065</f>
        <v>158.4390243902439</v>
      </c>
      <c r="D2065" s="43">
        <f ca="1">WORKDAY(Inputs!$B$3, ROUND(C2065, 0),Sheet2!$A$2:$A$21)</f>
        <v>46248</v>
      </c>
    </row>
    <row r="2066" spans="1:4" x14ac:dyDescent="0.25">
      <c r="A2066" s="42">
        <f t="shared" si="34"/>
        <v>2065</v>
      </c>
      <c r="B2066" s="42" cm="1">
        <f t="array" aca="1" ref="B2066" ca="1">INDEX(Historical!$A$1:$A$18, RANDBETWEEN(1, COUNTA(Historical!$A$1:$A$18)))</f>
        <v>1.4038461538461537</v>
      </c>
      <c r="C2066" s="42">
        <f ca="1">Inputs!$B$2/B2066</f>
        <v>159.56164383561645</v>
      </c>
      <c r="D2066" s="43">
        <f ca="1">WORKDAY(Inputs!$B$3, ROUND(C2066, 0),Sheet2!$A$2:$A$21)</f>
        <v>46252</v>
      </c>
    </row>
    <row r="2067" spans="1:4" x14ac:dyDescent="0.25">
      <c r="A2067" s="42">
        <f t="shared" si="34"/>
        <v>2066</v>
      </c>
      <c r="B2067" s="42" cm="1">
        <f t="array" aca="1" ref="B2067" ca="1">INDEX(Historical!$A$1:$A$18, RANDBETWEEN(1, COUNTA(Historical!$A$1:$A$18)))</f>
        <v>1.3559322033898304</v>
      </c>
      <c r="C2067" s="42">
        <f ca="1">Inputs!$B$2/B2067</f>
        <v>165.20000000000002</v>
      </c>
      <c r="D2067" s="43">
        <f ca="1">WORKDAY(Inputs!$B$3, ROUND(C2067, 0),Sheet2!$A$2:$A$21)</f>
        <v>46259</v>
      </c>
    </row>
    <row r="2068" spans="1:4" x14ac:dyDescent="0.25">
      <c r="A2068" s="42">
        <f t="shared" si="34"/>
        <v>2067</v>
      </c>
      <c r="B2068" s="42" cm="1">
        <f t="array" aca="1" ref="B2068" ca="1">INDEX(Historical!$A$1:$A$18, RANDBETWEEN(1, COUNTA(Historical!$A$1:$A$18)))</f>
        <v>1.290909090909091</v>
      </c>
      <c r="C2068" s="42">
        <f ca="1">Inputs!$B$2/B2068</f>
        <v>173.52112676056336</v>
      </c>
      <c r="D2068" s="43">
        <f ca="1">WORKDAY(Inputs!$B$3, ROUND(C2068, 0),Sheet2!$A$2:$A$21)</f>
        <v>46273</v>
      </c>
    </row>
    <row r="2069" spans="1:4" x14ac:dyDescent="0.25">
      <c r="A2069" s="42">
        <f t="shared" si="34"/>
        <v>2068</v>
      </c>
      <c r="B2069" s="42" cm="1">
        <f t="array" aca="1" ref="B2069" ca="1">INDEX(Historical!$A$1:$A$18, RANDBETWEEN(1, COUNTA(Historical!$A$1:$A$18)))</f>
        <v>1.3559322033898304</v>
      </c>
      <c r="C2069" s="42">
        <f ca="1">Inputs!$B$2/B2069</f>
        <v>165.20000000000002</v>
      </c>
      <c r="D2069" s="43">
        <f ca="1">WORKDAY(Inputs!$B$3, ROUND(C2069, 0),Sheet2!$A$2:$A$21)</f>
        <v>46259</v>
      </c>
    </row>
    <row r="2070" spans="1:4" x14ac:dyDescent="0.25">
      <c r="A2070" s="42">
        <f t="shared" si="34"/>
        <v>2069</v>
      </c>
      <c r="B2070" s="42" cm="1">
        <f t="array" aca="1" ref="B2070" ca="1">INDEX(Historical!$A$1:$A$18, RANDBETWEEN(1, COUNTA(Historical!$A$1:$A$18)))</f>
        <v>1.3214285714285714</v>
      </c>
      <c r="C2070" s="42">
        <f ca="1">Inputs!$B$2/B2070</f>
        <v>169.51351351351352</v>
      </c>
      <c r="D2070" s="43">
        <f ca="1">WORKDAY(Inputs!$B$3, ROUND(C2070, 0),Sheet2!$A$2:$A$21)</f>
        <v>46266</v>
      </c>
    </row>
    <row r="2071" spans="1:4" x14ac:dyDescent="0.25">
      <c r="A2071" s="42">
        <f t="shared" si="34"/>
        <v>2070</v>
      </c>
      <c r="B2071" s="42" cm="1">
        <f t="array" aca="1" ref="B2071" ca="1">INDEX(Historical!$A$1:$A$18, RANDBETWEEN(1, COUNTA(Historical!$A$1:$A$18)))</f>
        <v>1.375</v>
      </c>
      <c r="C2071" s="42">
        <f ca="1">Inputs!$B$2/B2071</f>
        <v>162.90909090909091</v>
      </c>
      <c r="D2071" s="43">
        <f ca="1">WORKDAY(Inputs!$B$3, ROUND(C2071, 0),Sheet2!$A$2:$A$21)</f>
        <v>46255</v>
      </c>
    </row>
    <row r="2072" spans="1:4" x14ac:dyDescent="0.25">
      <c r="A2072" s="42">
        <f t="shared" si="34"/>
        <v>2071</v>
      </c>
      <c r="B2072" s="42" cm="1">
        <f t="array" aca="1" ref="B2072" ca="1">INDEX(Historical!$A$1:$A$18, RANDBETWEEN(1, COUNTA(Historical!$A$1:$A$18)))</f>
        <v>1.4137931034482758</v>
      </c>
      <c r="C2072" s="42">
        <f ca="1">Inputs!$B$2/B2072</f>
        <v>158.4390243902439</v>
      </c>
      <c r="D2072" s="43">
        <f ca="1">WORKDAY(Inputs!$B$3, ROUND(C2072, 0),Sheet2!$A$2:$A$21)</f>
        <v>46248</v>
      </c>
    </row>
    <row r="2073" spans="1:4" x14ac:dyDescent="0.25">
      <c r="A2073" s="42">
        <f t="shared" si="34"/>
        <v>2072</v>
      </c>
      <c r="B2073" s="42" cm="1">
        <f t="array" aca="1" ref="B2073" ca="1">INDEX(Historical!$A$1:$A$18, RANDBETWEEN(1, COUNTA(Historical!$A$1:$A$18)))</f>
        <v>1.4347826086956521</v>
      </c>
      <c r="C2073" s="42">
        <f ca="1">Inputs!$B$2/B2073</f>
        <v>156.12121212121212</v>
      </c>
      <c r="D2073" s="43">
        <f ca="1">WORKDAY(Inputs!$B$3, ROUND(C2073, 0),Sheet2!$A$2:$A$21)</f>
        <v>46246</v>
      </c>
    </row>
    <row r="2074" spans="1:4" x14ac:dyDescent="0.25">
      <c r="A2074" s="42">
        <f t="shared" si="34"/>
        <v>2073</v>
      </c>
      <c r="B2074" s="42" cm="1">
        <f t="array" aca="1" ref="B2074" ca="1">INDEX(Historical!$A$1:$A$18, RANDBETWEEN(1, COUNTA(Historical!$A$1:$A$18)))</f>
        <v>1.3559322033898304</v>
      </c>
      <c r="C2074" s="42">
        <f ca="1">Inputs!$B$2/B2074</f>
        <v>165.20000000000002</v>
      </c>
      <c r="D2074" s="43">
        <f ca="1">WORKDAY(Inputs!$B$3, ROUND(C2074, 0),Sheet2!$A$2:$A$21)</f>
        <v>46259</v>
      </c>
    </row>
    <row r="2075" spans="1:4" x14ac:dyDescent="0.25">
      <c r="A2075" s="42">
        <f t="shared" si="34"/>
        <v>2074</v>
      </c>
      <c r="B2075" s="42" cm="1">
        <f t="array" aca="1" ref="B2075" ca="1">INDEX(Historical!$A$1:$A$18, RANDBETWEEN(1, COUNTA(Historical!$A$1:$A$18)))</f>
        <v>1.3559322033898304</v>
      </c>
      <c r="C2075" s="42">
        <f ca="1">Inputs!$B$2/B2075</f>
        <v>165.20000000000002</v>
      </c>
      <c r="D2075" s="43">
        <f ca="1">WORKDAY(Inputs!$B$3, ROUND(C2075, 0),Sheet2!$A$2:$A$21)</f>
        <v>46259</v>
      </c>
    </row>
    <row r="2076" spans="1:4" x14ac:dyDescent="0.25">
      <c r="A2076" s="42">
        <f t="shared" si="34"/>
        <v>2075</v>
      </c>
      <c r="B2076" s="42" cm="1">
        <f t="array" aca="1" ref="B2076" ca="1">INDEX(Historical!$A$1:$A$18, RANDBETWEEN(1, COUNTA(Historical!$A$1:$A$18)))</f>
        <v>1.3692307692307693</v>
      </c>
      <c r="C2076" s="42">
        <f ca="1">Inputs!$B$2/B2076</f>
        <v>163.59550561797752</v>
      </c>
      <c r="D2076" s="43">
        <f ca="1">WORKDAY(Inputs!$B$3, ROUND(C2076, 0),Sheet2!$A$2:$A$21)</f>
        <v>46258</v>
      </c>
    </row>
    <row r="2077" spans="1:4" x14ac:dyDescent="0.25">
      <c r="A2077" s="42">
        <f t="shared" si="34"/>
        <v>2076</v>
      </c>
      <c r="B2077" s="42" cm="1">
        <f t="array" aca="1" ref="B2077" ca="1">INDEX(Historical!$A$1:$A$18, RANDBETWEEN(1, COUNTA(Historical!$A$1:$A$18)))</f>
        <v>1.4038461538461537</v>
      </c>
      <c r="C2077" s="42">
        <f ca="1">Inputs!$B$2/B2077</f>
        <v>159.56164383561645</v>
      </c>
      <c r="D2077" s="43">
        <f ca="1">WORKDAY(Inputs!$B$3, ROUND(C2077, 0),Sheet2!$A$2:$A$21)</f>
        <v>46252</v>
      </c>
    </row>
    <row r="2078" spans="1:4" x14ac:dyDescent="0.25">
      <c r="A2078" s="42">
        <f t="shared" si="34"/>
        <v>2077</v>
      </c>
      <c r="B2078" s="42" cm="1">
        <f t="array" aca="1" ref="B2078" ca="1">INDEX(Historical!$A$1:$A$18, RANDBETWEEN(1, COUNTA(Historical!$A$1:$A$18)))</f>
        <v>1.368421052631579</v>
      </c>
      <c r="C2078" s="42">
        <f ca="1">Inputs!$B$2/B2078</f>
        <v>163.69230769230768</v>
      </c>
      <c r="D2078" s="43">
        <f ca="1">WORKDAY(Inputs!$B$3, ROUND(C2078, 0),Sheet2!$A$2:$A$21)</f>
        <v>46258</v>
      </c>
    </row>
    <row r="2079" spans="1:4" x14ac:dyDescent="0.25">
      <c r="A2079" s="42">
        <f t="shared" si="34"/>
        <v>2078</v>
      </c>
      <c r="B2079" s="42" cm="1">
        <f t="array" aca="1" ref="B2079" ca="1">INDEX(Historical!$A$1:$A$18, RANDBETWEEN(1, COUNTA(Historical!$A$1:$A$18)))</f>
        <v>1.4761904761904763</v>
      </c>
      <c r="C2079" s="42">
        <f ca="1">Inputs!$B$2/B2079</f>
        <v>151.74193548387095</v>
      </c>
      <c r="D2079" s="43">
        <f ca="1">WORKDAY(Inputs!$B$3, ROUND(C2079, 0),Sheet2!$A$2:$A$21)</f>
        <v>46240</v>
      </c>
    </row>
    <row r="2080" spans="1:4" x14ac:dyDescent="0.25">
      <c r="A2080" s="42">
        <f t="shared" si="34"/>
        <v>2079</v>
      </c>
      <c r="B2080" s="42" cm="1">
        <f t="array" aca="1" ref="B2080" ca="1">INDEX(Historical!$A$1:$A$18, RANDBETWEEN(1, COUNTA(Historical!$A$1:$A$18)))</f>
        <v>1.3214285714285714</v>
      </c>
      <c r="C2080" s="42">
        <f ca="1">Inputs!$B$2/B2080</f>
        <v>169.51351351351352</v>
      </c>
      <c r="D2080" s="43">
        <f ca="1">WORKDAY(Inputs!$B$3, ROUND(C2080, 0),Sheet2!$A$2:$A$21)</f>
        <v>46266</v>
      </c>
    </row>
    <row r="2081" spans="1:4" x14ac:dyDescent="0.25">
      <c r="A2081" s="42">
        <f t="shared" si="34"/>
        <v>2080</v>
      </c>
      <c r="B2081" s="42" cm="1">
        <f t="array" aca="1" ref="B2081" ca="1">INDEX(Historical!$A$1:$A$18, RANDBETWEEN(1, COUNTA(Historical!$A$1:$A$18)))</f>
        <v>1.4038461538461537</v>
      </c>
      <c r="C2081" s="42">
        <f ca="1">Inputs!$B$2/B2081</f>
        <v>159.56164383561645</v>
      </c>
      <c r="D2081" s="43">
        <f ca="1">WORKDAY(Inputs!$B$3, ROUND(C2081, 0),Sheet2!$A$2:$A$21)</f>
        <v>46252</v>
      </c>
    </row>
    <row r="2082" spans="1:4" x14ac:dyDescent="0.25">
      <c r="A2082" s="42">
        <f t="shared" si="34"/>
        <v>2081</v>
      </c>
      <c r="B2082" s="42" cm="1">
        <f t="array" aca="1" ref="B2082" ca="1">INDEX(Historical!$A$1:$A$18, RANDBETWEEN(1, COUNTA(Historical!$A$1:$A$18)))</f>
        <v>1.3707865168539326</v>
      </c>
      <c r="C2082" s="42">
        <f ca="1">Inputs!$B$2/B2082</f>
        <v>163.40983606557376</v>
      </c>
      <c r="D2082" s="43">
        <f ca="1">WORKDAY(Inputs!$B$3, ROUND(C2082, 0),Sheet2!$A$2:$A$21)</f>
        <v>46255</v>
      </c>
    </row>
    <row r="2083" spans="1:4" x14ac:dyDescent="0.25">
      <c r="A2083" s="42">
        <f t="shared" si="34"/>
        <v>2082</v>
      </c>
      <c r="B2083" s="42" cm="1">
        <f t="array" aca="1" ref="B2083" ca="1">INDEX(Historical!$A$1:$A$18, RANDBETWEEN(1, COUNTA(Historical!$A$1:$A$18)))</f>
        <v>1.3559322033898304</v>
      </c>
      <c r="C2083" s="42">
        <f ca="1">Inputs!$B$2/B2083</f>
        <v>165.20000000000002</v>
      </c>
      <c r="D2083" s="43">
        <f ca="1">WORKDAY(Inputs!$B$3, ROUND(C2083, 0),Sheet2!$A$2:$A$21)</f>
        <v>46259</v>
      </c>
    </row>
    <row r="2084" spans="1:4" x14ac:dyDescent="0.25">
      <c r="A2084" s="42">
        <f t="shared" si="34"/>
        <v>2083</v>
      </c>
      <c r="B2084" s="42" cm="1">
        <f t="array" aca="1" ref="B2084" ca="1">INDEX(Historical!$A$1:$A$18, RANDBETWEEN(1, COUNTA(Historical!$A$1:$A$18)))</f>
        <v>1.3157894736842106</v>
      </c>
      <c r="C2084" s="42">
        <f ca="1">Inputs!$B$2/B2084</f>
        <v>170.23999999999998</v>
      </c>
      <c r="D2084" s="43">
        <f ca="1">WORKDAY(Inputs!$B$3, ROUND(C2084, 0),Sheet2!$A$2:$A$21)</f>
        <v>46266</v>
      </c>
    </row>
    <row r="2085" spans="1:4" x14ac:dyDescent="0.25">
      <c r="A2085" s="42">
        <f t="shared" si="34"/>
        <v>2084</v>
      </c>
      <c r="B2085" s="42" cm="1">
        <f t="array" aca="1" ref="B2085" ca="1">INDEX(Historical!$A$1:$A$18, RANDBETWEEN(1, COUNTA(Historical!$A$1:$A$18)))</f>
        <v>1.3559322033898304</v>
      </c>
      <c r="C2085" s="42">
        <f ca="1">Inputs!$B$2/B2085</f>
        <v>165.20000000000002</v>
      </c>
      <c r="D2085" s="43">
        <f ca="1">WORKDAY(Inputs!$B$3, ROUND(C2085, 0),Sheet2!$A$2:$A$21)</f>
        <v>46259</v>
      </c>
    </row>
    <row r="2086" spans="1:4" x14ac:dyDescent="0.25">
      <c r="A2086" s="42">
        <f t="shared" si="34"/>
        <v>2085</v>
      </c>
      <c r="B2086" s="42" cm="1">
        <f t="array" aca="1" ref="B2086" ca="1">INDEX(Historical!$A$1:$A$18, RANDBETWEEN(1, COUNTA(Historical!$A$1:$A$18)))</f>
        <v>1.4038461538461537</v>
      </c>
      <c r="C2086" s="42">
        <f ca="1">Inputs!$B$2/B2086</f>
        <v>159.56164383561645</v>
      </c>
      <c r="D2086" s="43">
        <f ca="1">WORKDAY(Inputs!$B$3, ROUND(C2086, 0),Sheet2!$A$2:$A$21)</f>
        <v>46252</v>
      </c>
    </row>
    <row r="2087" spans="1:4" x14ac:dyDescent="0.25">
      <c r="A2087" s="42">
        <f t="shared" si="34"/>
        <v>2086</v>
      </c>
      <c r="B2087" s="42" cm="1">
        <f t="array" aca="1" ref="B2087" ca="1">INDEX(Historical!$A$1:$A$18, RANDBETWEEN(1, COUNTA(Historical!$A$1:$A$18)))</f>
        <v>1.5</v>
      </c>
      <c r="C2087" s="42">
        <f ca="1">Inputs!$B$2/B2087</f>
        <v>149.33333333333334</v>
      </c>
      <c r="D2087" s="43">
        <f ca="1">WORKDAY(Inputs!$B$3, ROUND(C2087, 0),Sheet2!$A$2:$A$21)</f>
        <v>46237</v>
      </c>
    </row>
    <row r="2088" spans="1:4" x14ac:dyDescent="0.25">
      <c r="A2088" s="42">
        <f t="shared" si="34"/>
        <v>2087</v>
      </c>
      <c r="B2088" s="42" cm="1">
        <f t="array" aca="1" ref="B2088" ca="1">INDEX(Historical!$A$1:$A$18, RANDBETWEEN(1, COUNTA(Historical!$A$1:$A$18)))</f>
        <v>1.5</v>
      </c>
      <c r="C2088" s="42">
        <f ca="1">Inputs!$B$2/B2088</f>
        <v>149.33333333333334</v>
      </c>
      <c r="D2088" s="43">
        <f ca="1">WORKDAY(Inputs!$B$3, ROUND(C2088, 0),Sheet2!$A$2:$A$21)</f>
        <v>46237</v>
      </c>
    </row>
    <row r="2089" spans="1:4" x14ac:dyDescent="0.25">
      <c r="A2089" s="42">
        <f t="shared" si="34"/>
        <v>2088</v>
      </c>
      <c r="B2089" s="42" cm="1">
        <f t="array" aca="1" ref="B2089" ca="1">INDEX(Historical!$A$1:$A$18, RANDBETWEEN(1, COUNTA(Historical!$A$1:$A$18)))</f>
        <v>1.3617021276595744</v>
      </c>
      <c r="C2089" s="42">
        <f ca="1">Inputs!$B$2/B2089</f>
        <v>164.5</v>
      </c>
      <c r="D2089" s="43">
        <f ca="1">WORKDAY(Inputs!$B$3, ROUND(C2089, 0),Sheet2!$A$2:$A$21)</f>
        <v>46259</v>
      </c>
    </row>
    <row r="2090" spans="1:4" x14ac:dyDescent="0.25">
      <c r="A2090" s="42">
        <f t="shared" si="34"/>
        <v>2089</v>
      </c>
      <c r="B2090" s="42" cm="1">
        <f t="array" aca="1" ref="B2090" ca="1">INDEX(Historical!$A$1:$A$18, RANDBETWEEN(1, COUNTA(Historical!$A$1:$A$18)))</f>
        <v>1.3611111111111112</v>
      </c>
      <c r="C2090" s="42">
        <f ca="1">Inputs!$B$2/B2090</f>
        <v>164.57142857142856</v>
      </c>
      <c r="D2090" s="43">
        <f ca="1">WORKDAY(Inputs!$B$3, ROUND(C2090, 0),Sheet2!$A$2:$A$21)</f>
        <v>46259</v>
      </c>
    </row>
    <row r="2091" spans="1:4" x14ac:dyDescent="0.25">
      <c r="A2091" s="42">
        <f t="shared" si="34"/>
        <v>2090</v>
      </c>
      <c r="B2091" s="42" cm="1">
        <f t="array" aca="1" ref="B2091" ca="1">INDEX(Historical!$A$1:$A$18, RANDBETWEEN(1, COUNTA(Historical!$A$1:$A$18)))</f>
        <v>1.4038461538461537</v>
      </c>
      <c r="C2091" s="42">
        <f ca="1">Inputs!$B$2/B2091</f>
        <v>159.56164383561645</v>
      </c>
      <c r="D2091" s="43">
        <f ca="1">WORKDAY(Inputs!$B$3, ROUND(C2091, 0),Sheet2!$A$2:$A$21)</f>
        <v>46252</v>
      </c>
    </row>
    <row r="2092" spans="1:4" x14ac:dyDescent="0.25">
      <c r="A2092" s="42">
        <f t="shared" si="34"/>
        <v>2091</v>
      </c>
      <c r="B2092" s="42" cm="1">
        <f t="array" aca="1" ref="B2092" ca="1">INDEX(Historical!$A$1:$A$18, RANDBETWEEN(1, COUNTA(Historical!$A$1:$A$18)))</f>
        <v>1.375</v>
      </c>
      <c r="C2092" s="42">
        <f ca="1">Inputs!$B$2/B2092</f>
        <v>162.90909090909091</v>
      </c>
      <c r="D2092" s="43">
        <f ca="1">WORKDAY(Inputs!$B$3, ROUND(C2092, 0),Sheet2!$A$2:$A$21)</f>
        <v>46255</v>
      </c>
    </row>
    <row r="2093" spans="1:4" x14ac:dyDescent="0.25">
      <c r="A2093" s="42">
        <f t="shared" si="34"/>
        <v>2092</v>
      </c>
      <c r="B2093" s="42" cm="1">
        <f t="array" aca="1" ref="B2093" ca="1">INDEX(Historical!$A$1:$A$18, RANDBETWEEN(1, COUNTA(Historical!$A$1:$A$18)))</f>
        <v>1.3617021276595744</v>
      </c>
      <c r="C2093" s="42">
        <f ca="1">Inputs!$B$2/B2093</f>
        <v>164.5</v>
      </c>
      <c r="D2093" s="43">
        <f ca="1">WORKDAY(Inputs!$B$3, ROUND(C2093, 0),Sheet2!$A$2:$A$21)</f>
        <v>46259</v>
      </c>
    </row>
    <row r="2094" spans="1:4" x14ac:dyDescent="0.25">
      <c r="A2094" s="42">
        <f t="shared" si="34"/>
        <v>2093</v>
      </c>
      <c r="B2094" s="42" cm="1">
        <f t="array" aca="1" ref="B2094" ca="1">INDEX(Historical!$A$1:$A$18, RANDBETWEEN(1, COUNTA(Historical!$A$1:$A$18)))</f>
        <v>1.3692307692307693</v>
      </c>
      <c r="C2094" s="42">
        <f ca="1">Inputs!$B$2/B2094</f>
        <v>163.59550561797752</v>
      </c>
      <c r="D2094" s="43">
        <f ca="1">WORKDAY(Inputs!$B$3, ROUND(C2094, 0),Sheet2!$A$2:$A$21)</f>
        <v>46258</v>
      </c>
    </row>
    <row r="2095" spans="1:4" x14ac:dyDescent="0.25">
      <c r="A2095" s="42">
        <f t="shared" si="34"/>
        <v>2094</v>
      </c>
      <c r="B2095" s="42" cm="1">
        <f t="array" aca="1" ref="B2095" ca="1">INDEX(Historical!$A$1:$A$18, RANDBETWEEN(1, COUNTA(Historical!$A$1:$A$18)))</f>
        <v>1.4038461538461537</v>
      </c>
      <c r="C2095" s="42">
        <f ca="1">Inputs!$B$2/B2095</f>
        <v>159.56164383561645</v>
      </c>
      <c r="D2095" s="43">
        <f ca="1">WORKDAY(Inputs!$B$3, ROUND(C2095, 0),Sheet2!$A$2:$A$21)</f>
        <v>46252</v>
      </c>
    </row>
    <row r="2096" spans="1:4" x14ac:dyDescent="0.25">
      <c r="A2096" s="42">
        <f t="shared" si="34"/>
        <v>2095</v>
      </c>
      <c r="B2096" s="42" cm="1">
        <f t="array" aca="1" ref="B2096" ca="1">INDEX(Historical!$A$1:$A$18, RANDBETWEEN(1, COUNTA(Historical!$A$1:$A$18)))</f>
        <v>1.3559322033898304</v>
      </c>
      <c r="C2096" s="42">
        <f ca="1">Inputs!$B$2/B2096</f>
        <v>165.20000000000002</v>
      </c>
      <c r="D2096" s="43">
        <f ca="1">WORKDAY(Inputs!$B$3, ROUND(C2096, 0),Sheet2!$A$2:$A$21)</f>
        <v>46259</v>
      </c>
    </row>
    <row r="2097" spans="1:4" x14ac:dyDescent="0.25">
      <c r="A2097" s="42">
        <f t="shared" si="34"/>
        <v>2096</v>
      </c>
      <c r="B2097" s="42" cm="1">
        <f t="array" aca="1" ref="B2097" ca="1">INDEX(Historical!$A$1:$A$18, RANDBETWEEN(1, COUNTA(Historical!$A$1:$A$18)))</f>
        <v>1.3617021276595744</v>
      </c>
      <c r="C2097" s="42">
        <f ca="1">Inputs!$B$2/B2097</f>
        <v>164.5</v>
      </c>
      <c r="D2097" s="43">
        <f ca="1">WORKDAY(Inputs!$B$3, ROUND(C2097, 0),Sheet2!$A$2:$A$21)</f>
        <v>46259</v>
      </c>
    </row>
    <row r="2098" spans="1:4" x14ac:dyDescent="0.25">
      <c r="A2098" s="42">
        <f t="shared" si="34"/>
        <v>2097</v>
      </c>
      <c r="B2098" s="42" cm="1">
        <f t="array" aca="1" ref="B2098" ca="1">INDEX(Historical!$A$1:$A$18, RANDBETWEEN(1, COUNTA(Historical!$A$1:$A$18)))</f>
        <v>1.5</v>
      </c>
      <c r="C2098" s="42">
        <f ca="1">Inputs!$B$2/B2098</f>
        <v>149.33333333333334</v>
      </c>
      <c r="D2098" s="43">
        <f ca="1">WORKDAY(Inputs!$B$3, ROUND(C2098, 0),Sheet2!$A$2:$A$21)</f>
        <v>46237</v>
      </c>
    </row>
    <row r="2099" spans="1:4" x14ac:dyDescent="0.25">
      <c r="A2099" s="42">
        <f t="shared" si="34"/>
        <v>2098</v>
      </c>
      <c r="B2099" s="42" cm="1">
        <f t="array" aca="1" ref="B2099" ca="1">INDEX(Historical!$A$1:$A$18, RANDBETWEEN(1, COUNTA(Historical!$A$1:$A$18)))</f>
        <v>1.3692307692307693</v>
      </c>
      <c r="C2099" s="42">
        <f ca="1">Inputs!$B$2/B2099</f>
        <v>163.59550561797752</v>
      </c>
      <c r="D2099" s="43">
        <f ca="1">WORKDAY(Inputs!$B$3, ROUND(C2099, 0),Sheet2!$A$2:$A$21)</f>
        <v>46258</v>
      </c>
    </row>
    <row r="2100" spans="1:4" x14ac:dyDescent="0.25">
      <c r="A2100" s="42">
        <f t="shared" si="34"/>
        <v>2099</v>
      </c>
      <c r="B2100" s="42" cm="1">
        <f t="array" aca="1" ref="B2100" ca="1">INDEX(Historical!$A$1:$A$18, RANDBETWEEN(1, COUNTA(Historical!$A$1:$A$18)))</f>
        <v>1.3559322033898304</v>
      </c>
      <c r="C2100" s="42">
        <f ca="1">Inputs!$B$2/B2100</f>
        <v>165.20000000000002</v>
      </c>
      <c r="D2100" s="43">
        <f ca="1">WORKDAY(Inputs!$B$3, ROUND(C2100, 0),Sheet2!$A$2:$A$21)</f>
        <v>46259</v>
      </c>
    </row>
    <row r="2101" spans="1:4" x14ac:dyDescent="0.25">
      <c r="A2101" s="42">
        <f t="shared" si="34"/>
        <v>2100</v>
      </c>
      <c r="B2101" s="42" cm="1">
        <f t="array" aca="1" ref="B2101" ca="1">INDEX(Historical!$A$1:$A$18, RANDBETWEEN(1, COUNTA(Historical!$A$1:$A$18)))</f>
        <v>1.3559322033898304</v>
      </c>
      <c r="C2101" s="42">
        <f ca="1">Inputs!$B$2/B2101</f>
        <v>165.20000000000002</v>
      </c>
      <c r="D2101" s="43">
        <f ca="1">WORKDAY(Inputs!$B$3, ROUND(C2101, 0),Sheet2!$A$2:$A$21)</f>
        <v>46259</v>
      </c>
    </row>
    <row r="2102" spans="1:4" x14ac:dyDescent="0.25">
      <c r="A2102" s="42">
        <f t="shared" si="34"/>
        <v>2101</v>
      </c>
      <c r="B2102" s="42" cm="1">
        <f t="array" aca="1" ref="B2102" ca="1">INDEX(Historical!$A$1:$A$18, RANDBETWEEN(1, COUNTA(Historical!$A$1:$A$18)))</f>
        <v>1.5</v>
      </c>
      <c r="C2102" s="42">
        <f ca="1">Inputs!$B$2/B2102</f>
        <v>149.33333333333334</v>
      </c>
      <c r="D2102" s="43">
        <f ca="1">WORKDAY(Inputs!$B$3, ROUND(C2102, 0),Sheet2!$A$2:$A$21)</f>
        <v>46237</v>
      </c>
    </row>
    <row r="2103" spans="1:4" x14ac:dyDescent="0.25">
      <c r="A2103" s="42">
        <f t="shared" si="34"/>
        <v>2102</v>
      </c>
      <c r="B2103" s="42" cm="1">
        <f t="array" aca="1" ref="B2103" ca="1">INDEX(Historical!$A$1:$A$18, RANDBETWEEN(1, COUNTA(Historical!$A$1:$A$18)))</f>
        <v>1.4761904761904763</v>
      </c>
      <c r="C2103" s="42">
        <f ca="1">Inputs!$B$2/B2103</f>
        <v>151.74193548387095</v>
      </c>
      <c r="D2103" s="43">
        <f ca="1">WORKDAY(Inputs!$B$3, ROUND(C2103, 0),Sheet2!$A$2:$A$21)</f>
        <v>46240</v>
      </c>
    </row>
    <row r="2104" spans="1:4" x14ac:dyDescent="0.25">
      <c r="A2104" s="42">
        <f t="shared" si="34"/>
        <v>2103</v>
      </c>
      <c r="B2104" s="42" cm="1">
        <f t="array" aca="1" ref="B2104" ca="1">INDEX(Historical!$A$1:$A$18, RANDBETWEEN(1, COUNTA(Historical!$A$1:$A$18)))</f>
        <v>1.375</v>
      </c>
      <c r="C2104" s="42">
        <f ca="1">Inputs!$B$2/B2104</f>
        <v>162.90909090909091</v>
      </c>
      <c r="D2104" s="43">
        <f ca="1">WORKDAY(Inputs!$B$3, ROUND(C2104, 0),Sheet2!$A$2:$A$21)</f>
        <v>46255</v>
      </c>
    </row>
    <row r="2105" spans="1:4" x14ac:dyDescent="0.25">
      <c r="A2105" s="42">
        <f t="shared" si="34"/>
        <v>2104</v>
      </c>
      <c r="B2105" s="42" cm="1">
        <f t="array" aca="1" ref="B2105" ca="1">INDEX(Historical!$A$1:$A$18, RANDBETWEEN(1, COUNTA(Historical!$A$1:$A$18)))</f>
        <v>1.3692307692307693</v>
      </c>
      <c r="C2105" s="42">
        <f ca="1">Inputs!$B$2/B2105</f>
        <v>163.59550561797752</v>
      </c>
      <c r="D2105" s="43">
        <f ca="1">WORKDAY(Inputs!$B$3, ROUND(C2105, 0),Sheet2!$A$2:$A$21)</f>
        <v>46258</v>
      </c>
    </row>
    <row r="2106" spans="1:4" x14ac:dyDescent="0.25">
      <c r="A2106" s="42">
        <f t="shared" si="34"/>
        <v>2105</v>
      </c>
      <c r="B2106" s="42" cm="1">
        <f t="array" aca="1" ref="B2106" ca="1">INDEX(Historical!$A$1:$A$18, RANDBETWEEN(1, COUNTA(Historical!$A$1:$A$18)))</f>
        <v>1.375</v>
      </c>
      <c r="C2106" s="42">
        <f ca="1">Inputs!$B$2/B2106</f>
        <v>162.90909090909091</v>
      </c>
      <c r="D2106" s="43">
        <f ca="1">WORKDAY(Inputs!$B$3, ROUND(C2106, 0),Sheet2!$A$2:$A$21)</f>
        <v>46255</v>
      </c>
    </row>
    <row r="2107" spans="1:4" x14ac:dyDescent="0.25">
      <c r="A2107" s="42">
        <f t="shared" si="34"/>
        <v>2106</v>
      </c>
      <c r="B2107" s="42" cm="1">
        <f t="array" aca="1" ref="B2107" ca="1">INDEX(Historical!$A$1:$A$18, RANDBETWEEN(1, COUNTA(Historical!$A$1:$A$18)))</f>
        <v>1.4347826086956521</v>
      </c>
      <c r="C2107" s="42">
        <f ca="1">Inputs!$B$2/B2107</f>
        <v>156.12121212121212</v>
      </c>
      <c r="D2107" s="43">
        <f ca="1">WORKDAY(Inputs!$B$3, ROUND(C2107, 0),Sheet2!$A$2:$A$21)</f>
        <v>46246</v>
      </c>
    </row>
    <row r="2108" spans="1:4" x14ac:dyDescent="0.25">
      <c r="A2108" s="42">
        <f t="shared" si="34"/>
        <v>2107</v>
      </c>
      <c r="B2108" s="42" cm="1">
        <f t="array" aca="1" ref="B2108" ca="1">INDEX(Historical!$A$1:$A$18, RANDBETWEEN(1, COUNTA(Historical!$A$1:$A$18)))</f>
        <v>1.368421052631579</v>
      </c>
      <c r="C2108" s="42">
        <f ca="1">Inputs!$B$2/B2108</f>
        <v>163.69230769230768</v>
      </c>
      <c r="D2108" s="43">
        <f ca="1">WORKDAY(Inputs!$B$3, ROUND(C2108, 0),Sheet2!$A$2:$A$21)</f>
        <v>46258</v>
      </c>
    </row>
    <row r="2109" spans="1:4" x14ac:dyDescent="0.25">
      <c r="A2109" s="42">
        <f t="shared" si="34"/>
        <v>2108</v>
      </c>
      <c r="B2109" s="42" cm="1">
        <f t="array" aca="1" ref="B2109" ca="1">INDEX(Historical!$A$1:$A$18, RANDBETWEEN(1, COUNTA(Historical!$A$1:$A$18)))</f>
        <v>1.3157894736842106</v>
      </c>
      <c r="C2109" s="42">
        <f ca="1">Inputs!$B$2/B2109</f>
        <v>170.23999999999998</v>
      </c>
      <c r="D2109" s="43">
        <f ca="1">WORKDAY(Inputs!$B$3, ROUND(C2109, 0),Sheet2!$A$2:$A$21)</f>
        <v>46266</v>
      </c>
    </row>
    <row r="2110" spans="1:4" x14ac:dyDescent="0.25">
      <c r="A2110" s="42">
        <f t="shared" si="34"/>
        <v>2109</v>
      </c>
      <c r="B2110" s="42" cm="1">
        <f t="array" aca="1" ref="B2110" ca="1">INDEX(Historical!$A$1:$A$18, RANDBETWEEN(1, COUNTA(Historical!$A$1:$A$18)))</f>
        <v>1.4038461538461537</v>
      </c>
      <c r="C2110" s="42">
        <f ca="1">Inputs!$B$2/B2110</f>
        <v>159.56164383561645</v>
      </c>
      <c r="D2110" s="43">
        <f ca="1">WORKDAY(Inputs!$B$3, ROUND(C2110, 0),Sheet2!$A$2:$A$21)</f>
        <v>46252</v>
      </c>
    </row>
    <row r="2111" spans="1:4" x14ac:dyDescent="0.25">
      <c r="A2111" s="42">
        <f t="shared" si="34"/>
        <v>2110</v>
      </c>
      <c r="B2111" s="42" cm="1">
        <f t="array" aca="1" ref="B2111" ca="1">INDEX(Historical!$A$1:$A$18, RANDBETWEEN(1, COUNTA(Historical!$A$1:$A$18)))</f>
        <v>1.3214285714285714</v>
      </c>
      <c r="C2111" s="42">
        <f ca="1">Inputs!$B$2/B2111</f>
        <v>169.51351351351352</v>
      </c>
      <c r="D2111" s="43">
        <f ca="1">WORKDAY(Inputs!$B$3, ROUND(C2111, 0),Sheet2!$A$2:$A$21)</f>
        <v>46266</v>
      </c>
    </row>
    <row r="2112" spans="1:4" x14ac:dyDescent="0.25">
      <c r="A2112" s="42">
        <f t="shared" si="34"/>
        <v>2111</v>
      </c>
      <c r="B2112" s="42" cm="1">
        <f t="array" aca="1" ref="B2112" ca="1">INDEX(Historical!$A$1:$A$18, RANDBETWEEN(1, COUNTA(Historical!$A$1:$A$18)))</f>
        <v>1.4137931034482758</v>
      </c>
      <c r="C2112" s="42">
        <f ca="1">Inputs!$B$2/B2112</f>
        <v>158.4390243902439</v>
      </c>
      <c r="D2112" s="43">
        <f ca="1">WORKDAY(Inputs!$B$3, ROUND(C2112, 0),Sheet2!$A$2:$A$21)</f>
        <v>46248</v>
      </c>
    </row>
    <row r="2113" spans="1:4" x14ac:dyDescent="0.25">
      <c r="A2113" s="42">
        <f t="shared" si="34"/>
        <v>2112</v>
      </c>
      <c r="B2113" s="42" cm="1">
        <f t="array" aca="1" ref="B2113" ca="1">INDEX(Historical!$A$1:$A$18, RANDBETWEEN(1, COUNTA(Historical!$A$1:$A$18)))</f>
        <v>1.3617021276595744</v>
      </c>
      <c r="C2113" s="42">
        <f ca="1">Inputs!$B$2/B2113</f>
        <v>164.5</v>
      </c>
      <c r="D2113" s="43">
        <f ca="1">WORKDAY(Inputs!$B$3, ROUND(C2113, 0),Sheet2!$A$2:$A$21)</f>
        <v>46259</v>
      </c>
    </row>
    <row r="2114" spans="1:4" x14ac:dyDescent="0.25">
      <c r="A2114" s="42">
        <f t="shared" si="34"/>
        <v>2113</v>
      </c>
      <c r="B2114" s="42" cm="1">
        <f t="array" aca="1" ref="B2114" ca="1">INDEX(Historical!$A$1:$A$18, RANDBETWEEN(1, COUNTA(Historical!$A$1:$A$18)))</f>
        <v>1.5</v>
      </c>
      <c r="C2114" s="42">
        <f ca="1">Inputs!$B$2/B2114</f>
        <v>149.33333333333334</v>
      </c>
      <c r="D2114" s="43">
        <f ca="1">WORKDAY(Inputs!$B$3, ROUND(C2114, 0),Sheet2!$A$2:$A$21)</f>
        <v>46237</v>
      </c>
    </row>
    <row r="2115" spans="1:4" x14ac:dyDescent="0.25">
      <c r="A2115" s="42">
        <f t="shared" ref="A2115:A2148" si="35">ROW()-1</f>
        <v>2114</v>
      </c>
      <c r="B2115" s="42" cm="1">
        <f t="array" aca="1" ref="B2115" ca="1">INDEX(Historical!$A$1:$A$18, RANDBETWEEN(1, COUNTA(Historical!$A$1:$A$18)))</f>
        <v>1.2941176470588236</v>
      </c>
      <c r="C2115" s="42">
        <f ca="1">Inputs!$B$2/B2115</f>
        <v>173.09090909090909</v>
      </c>
      <c r="D2115" s="43">
        <f ca="1">WORKDAY(Inputs!$B$3, ROUND(C2115, 0),Sheet2!$A$2:$A$21)</f>
        <v>46269</v>
      </c>
    </row>
    <row r="2116" spans="1:4" x14ac:dyDescent="0.25">
      <c r="A2116" s="42">
        <f t="shared" si="35"/>
        <v>2115</v>
      </c>
      <c r="B2116" s="42" cm="1">
        <f t="array" aca="1" ref="B2116" ca="1">INDEX(Historical!$A$1:$A$18, RANDBETWEEN(1, COUNTA(Historical!$A$1:$A$18)))</f>
        <v>1.4038461538461537</v>
      </c>
      <c r="C2116" s="42">
        <f ca="1">Inputs!$B$2/B2116</f>
        <v>159.56164383561645</v>
      </c>
      <c r="D2116" s="43">
        <f ca="1">WORKDAY(Inputs!$B$3, ROUND(C2116, 0),Sheet2!$A$2:$A$21)</f>
        <v>46252</v>
      </c>
    </row>
    <row r="2117" spans="1:4" x14ac:dyDescent="0.25">
      <c r="A2117" s="42">
        <f t="shared" si="35"/>
        <v>2116</v>
      </c>
      <c r="B2117" s="42" cm="1">
        <f t="array" aca="1" ref="B2117" ca="1">INDEX(Historical!$A$1:$A$18, RANDBETWEEN(1, COUNTA(Historical!$A$1:$A$18)))</f>
        <v>1.4761904761904763</v>
      </c>
      <c r="C2117" s="42">
        <f ca="1">Inputs!$B$2/B2117</f>
        <v>151.74193548387095</v>
      </c>
      <c r="D2117" s="43">
        <f ca="1">WORKDAY(Inputs!$B$3, ROUND(C2117, 0),Sheet2!$A$2:$A$21)</f>
        <v>46240</v>
      </c>
    </row>
    <row r="2118" spans="1:4" x14ac:dyDescent="0.25">
      <c r="A2118" s="42">
        <f t="shared" si="35"/>
        <v>2117</v>
      </c>
      <c r="B2118" s="42" cm="1">
        <f t="array" aca="1" ref="B2118" ca="1">INDEX(Historical!$A$1:$A$18, RANDBETWEEN(1, COUNTA(Historical!$A$1:$A$18)))</f>
        <v>1.2941176470588236</v>
      </c>
      <c r="C2118" s="42">
        <f ca="1">Inputs!$B$2/B2118</f>
        <v>173.09090909090909</v>
      </c>
      <c r="D2118" s="43">
        <f ca="1">WORKDAY(Inputs!$B$3, ROUND(C2118, 0),Sheet2!$A$2:$A$21)</f>
        <v>46269</v>
      </c>
    </row>
    <row r="2119" spans="1:4" x14ac:dyDescent="0.25">
      <c r="A2119" s="42">
        <f t="shared" si="35"/>
        <v>2118</v>
      </c>
      <c r="B2119" s="42" cm="1">
        <f t="array" aca="1" ref="B2119" ca="1">INDEX(Historical!$A$1:$A$18, RANDBETWEEN(1, COUNTA(Historical!$A$1:$A$18)))</f>
        <v>1.375</v>
      </c>
      <c r="C2119" s="42">
        <f ca="1">Inputs!$B$2/B2119</f>
        <v>162.90909090909091</v>
      </c>
      <c r="D2119" s="43">
        <f ca="1">WORKDAY(Inputs!$B$3, ROUND(C2119, 0),Sheet2!$A$2:$A$21)</f>
        <v>46255</v>
      </c>
    </row>
    <row r="2120" spans="1:4" x14ac:dyDescent="0.25">
      <c r="A2120" s="42">
        <f t="shared" si="35"/>
        <v>2119</v>
      </c>
      <c r="B2120" s="42" cm="1">
        <f t="array" aca="1" ref="B2120" ca="1">INDEX(Historical!$A$1:$A$18, RANDBETWEEN(1, COUNTA(Historical!$A$1:$A$18)))</f>
        <v>1.5</v>
      </c>
      <c r="C2120" s="42">
        <f ca="1">Inputs!$B$2/B2120</f>
        <v>149.33333333333334</v>
      </c>
      <c r="D2120" s="43">
        <f ca="1">WORKDAY(Inputs!$B$3, ROUND(C2120, 0),Sheet2!$A$2:$A$21)</f>
        <v>46237</v>
      </c>
    </row>
    <row r="2121" spans="1:4" x14ac:dyDescent="0.25">
      <c r="A2121" s="42">
        <f t="shared" si="35"/>
        <v>2120</v>
      </c>
      <c r="B2121" s="42" cm="1">
        <f t="array" aca="1" ref="B2121" ca="1">INDEX(Historical!$A$1:$A$18, RANDBETWEEN(1, COUNTA(Historical!$A$1:$A$18)))</f>
        <v>1.4347826086956521</v>
      </c>
      <c r="C2121" s="42">
        <f ca="1">Inputs!$B$2/B2121</f>
        <v>156.12121212121212</v>
      </c>
      <c r="D2121" s="43">
        <f ca="1">WORKDAY(Inputs!$B$3, ROUND(C2121, 0),Sheet2!$A$2:$A$21)</f>
        <v>46246</v>
      </c>
    </row>
    <row r="2122" spans="1:4" x14ac:dyDescent="0.25">
      <c r="A2122" s="42">
        <f t="shared" si="35"/>
        <v>2121</v>
      </c>
      <c r="B2122" s="42" cm="1">
        <f t="array" aca="1" ref="B2122" ca="1">INDEX(Historical!$A$1:$A$18, RANDBETWEEN(1, COUNTA(Historical!$A$1:$A$18)))</f>
        <v>1.4137931034482758</v>
      </c>
      <c r="C2122" s="42">
        <f ca="1">Inputs!$B$2/B2122</f>
        <v>158.4390243902439</v>
      </c>
      <c r="D2122" s="43">
        <f ca="1">WORKDAY(Inputs!$B$3, ROUND(C2122, 0),Sheet2!$A$2:$A$21)</f>
        <v>46248</v>
      </c>
    </row>
    <row r="2123" spans="1:4" x14ac:dyDescent="0.25">
      <c r="A2123" s="42">
        <f t="shared" si="35"/>
        <v>2122</v>
      </c>
      <c r="B2123" s="42" cm="1">
        <f t="array" aca="1" ref="B2123" ca="1">INDEX(Historical!$A$1:$A$18, RANDBETWEEN(1, COUNTA(Historical!$A$1:$A$18)))</f>
        <v>1.2941176470588236</v>
      </c>
      <c r="C2123" s="42">
        <f ca="1">Inputs!$B$2/B2123</f>
        <v>173.09090909090909</v>
      </c>
      <c r="D2123" s="43">
        <f ca="1">WORKDAY(Inputs!$B$3, ROUND(C2123, 0),Sheet2!$A$2:$A$21)</f>
        <v>46269</v>
      </c>
    </row>
    <row r="2124" spans="1:4" x14ac:dyDescent="0.25">
      <c r="A2124" s="42">
        <f t="shared" si="35"/>
        <v>2123</v>
      </c>
      <c r="B2124" s="42" cm="1">
        <f t="array" aca="1" ref="B2124" ca="1">INDEX(Historical!$A$1:$A$18, RANDBETWEEN(1, COUNTA(Historical!$A$1:$A$18)))</f>
        <v>1.303030303030303</v>
      </c>
      <c r="C2124" s="42">
        <f ca="1">Inputs!$B$2/B2124</f>
        <v>171.90697674418604</v>
      </c>
      <c r="D2124" s="43">
        <f ca="1">WORKDAY(Inputs!$B$3, ROUND(C2124, 0),Sheet2!$A$2:$A$21)</f>
        <v>46268</v>
      </c>
    </row>
    <row r="2125" spans="1:4" x14ac:dyDescent="0.25">
      <c r="A2125" s="42">
        <f t="shared" si="35"/>
        <v>2124</v>
      </c>
      <c r="B2125" s="42" cm="1">
        <f t="array" aca="1" ref="B2125" ca="1">INDEX(Historical!$A$1:$A$18, RANDBETWEEN(1, COUNTA(Historical!$A$1:$A$18)))</f>
        <v>1.3692307692307693</v>
      </c>
      <c r="C2125" s="42">
        <f ca="1">Inputs!$B$2/B2125</f>
        <v>163.59550561797752</v>
      </c>
      <c r="D2125" s="43">
        <f ca="1">WORKDAY(Inputs!$B$3, ROUND(C2125, 0),Sheet2!$A$2:$A$21)</f>
        <v>46258</v>
      </c>
    </row>
    <row r="2126" spans="1:4" x14ac:dyDescent="0.25">
      <c r="A2126" s="42">
        <f t="shared" si="35"/>
        <v>2125</v>
      </c>
      <c r="B2126" s="42" cm="1">
        <f t="array" aca="1" ref="B2126" ca="1">INDEX(Historical!$A$1:$A$18, RANDBETWEEN(1, COUNTA(Historical!$A$1:$A$18)))</f>
        <v>1.3157894736842106</v>
      </c>
      <c r="C2126" s="42">
        <f ca="1">Inputs!$B$2/B2126</f>
        <v>170.23999999999998</v>
      </c>
      <c r="D2126" s="43">
        <f ca="1">WORKDAY(Inputs!$B$3, ROUND(C2126, 0),Sheet2!$A$2:$A$21)</f>
        <v>46266</v>
      </c>
    </row>
    <row r="2127" spans="1:4" x14ac:dyDescent="0.25">
      <c r="A2127" s="42">
        <f t="shared" si="35"/>
        <v>2126</v>
      </c>
      <c r="B2127" s="42" cm="1">
        <f t="array" aca="1" ref="B2127" ca="1">INDEX(Historical!$A$1:$A$18, RANDBETWEEN(1, COUNTA(Historical!$A$1:$A$18)))</f>
        <v>1.303030303030303</v>
      </c>
      <c r="C2127" s="42">
        <f ca="1">Inputs!$B$2/B2127</f>
        <v>171.90697674418604</v>
      </c>
      <c r="D2127" s="43">
        <f ca="1">WORKDAY(Inputs!$B$3, ROUND(C2127, 0),Sheet2!$A$2:$A$21)</f>
        <v>46268</v>
      </c>
    </row>
    <row r="2128" spans="1:4" x14ac:dyDescent="0.25">
      <c r="A2128" s="42">
        <f t="shared" si="35"/>
        <v>2127</v>
      </c>
      <c r="B2128" s="42" cm="1">
        <f t="array" aca="1" ref="B2128" ca="1">INDEX(Historical!$A$1:$A$18, RANDBETWEEN(1, COUNTA(Historical!$A$1:$A$18)))</f>
        <v>1.5</v>
      </c>
      <c r="C2128" s="42">
        <f ca="1">Inputs!$B$2/B2128</f>
        <v>149.33333333333334</v>
      </c>
      <c r="D2128" s="43">
        <f ca="1">WORKDAY(Inputs!$B$3, ROUND(C2128, 0),Sheet2!$A$2:$A$21)</f>
        <v>46237</v>
      </c>
    </row>
    <row r="2129" spans="1:4" x14ac:dyDescent="0.25">
      <c r="A2129" s="42">
        <f t="shared" si="35"/>
        <v>2128</v>
      </c>
      <c r="B2129" s="42" cm="1">
        <f t="array" aca="1" ref="B2129" ca="1">INDEX(Historical!$A$1:$A$18, RANDBETWEEN(1, COUNTA(Historical!$A$1:$A$18)))</f>
        <v>1.1666666666666667</v>
      </c>
      <c r="C2129" s="42">
        <f ca="1">Inputs!$B$2/B2129</f>
        <v>192</v>
      </c>
      <c r="D2129" s="43">
        <f ca="1">WORKDAY(Inputs!$B$3, ROUND(C2129, 0),Sheet2!$A$2:$A$21)</f>
        <v>46297</v>
      </c>
    </row>
    <row r="2130" spans="1:4" x14ac:dyDescent="0.25">
      <c r="A2130" s="42">
        <f t="shared" si="35"/>
        <v>2129</v>
      </c>
      <c r="B2130" s="42" cm="1">
        <f t="array" aca="1" ref="B2130" ca="1">INDEX(Historical!$A$1:$A$18, RANDBETWEEN(1, COUNTA(Historical!$A$1:$A$18)))</f>
        <v>1.303030303030303</v>
      </c>
      <c r="C2130" s="42">
        <f ca="1">Inputs!$B$2/B2130</f>
        <v>171.90697674418604</v>
      </c>
      <c r="D2130" s="43">
        <f ca="1">WORKDAY(Inputs!$B$3, ROUND(C2130, 0),Sheet2!$A$2:$A$21)</f>
        <v>46268</v>
      </c>
    </row>
    <row r="2131" spans="1:4" x14ac:dyDescent="0.25">
      <c r="A2131" s="42">
        <f t="shared" si="35"/>
        <v>2130</v>
      </c>
      <c r="B2131" s="42" cm="1">
        <f t="array" aca="1" ref="B2131" ca="1">INDEX(Historical!$A$1:$A$18, RANDBETWEEN(1, COUNTA(Historical!$A$1:$A$18)))</f>
        <v>1.3692307692307693</v>
      </c>
      <c r="C2131" s="42">
        <f ca="1">Inputs!$B$2/B2131</f>
        <v>163.59550561797752</v>
      </c>
      <c r="D2131" s="43">
        <f ca="1">WORKDAY(Inputs!$B$3, ROUND(C2131, 0),Sheet2!$A$2:$A$21)</f>
        <v>46258</v>
      </c>
    </row>
    <row r="2132" spans="1:4" x14ac:dyDescent="0.25">
      <c r="A2132" s="42">
        <f t="shared" si="35"/>
        <v>2131</v>
      </c>
      <c r="B2132" s="42" cm="1">
        <f t="array" aca="1" ref="B2132" ca="1">INDEX(Historical!$A$1:$A$18, RANDBETWEEN(1, COUNTA(Historical!$A$1:$A$18)))</f>
        <v>1.3559322033898304</v>
      </c>
      <c r="C2132" s="42">
        <f ca="1">Inputs!$B$2/B2132</f>
        <v>165.20000000000002</v>
      </c>
      <c r="D2132" s="43">
        <f ca="1">WORKDAY(Inputs!$B$3, ROUND(C2132, 0),Sheet2!$A$2:$A$21)</f>
        <v>46259</v>
      </c>
    </row>
    <row r="2133" spans="1:4" x14ac:dyDescent="0.25">
      <c r="A2133" s="42">
        <f t="shared" si="35"/>
        <v>2132</v>
      </c>
      <c r="B2133" s="42" cm="1">
        <f t="array" aca="1" ref="B2133" ca="1">INDEX(Historical!$A$1:$A$18, RANDBETWEEN(1, COUNTA(Historical!$A$1:$A$18)))</f>
        <v>1.3692307692307693</v>
      </c>
      <c r="C2133" s="42">
        <f ca="1">Inputs!$B$2/B2133</f>
        <v>163.59550561797752</v>
      </c>
      <c r="D2133" s="43">
        <f ca="1">WORKDAY(Inputs!$B$3, ROUND(C2133, 0),Sheet2!$A$2:$A$21)</f>
        <v>46258</v>
      </c>
    </row>
    <row r="2134" spans="1:4" x14ac:dyDescent="0.25">
      <c r="A2134" s="42">
        <f t="shared" si="35"/>
        <v>2133</v>
      </c>
      <c r="B2134" s="42" cm="1">
        <f t="array" aca="1" ref="B2134" ca="1">INDEX(Historical!$A$1:$A$18, RANDBETWEEN(1, COUNTA(Historical!$A$1:$A$18)))</f>
        <v>1.4038461538461537</v>
      </c>
      <c r="C2134" s="42">
        <f ca="1">Inputs!$B$2/B2134</f>
        <v>159.56164383561645</v>
      </c>
      <c r="D2134" s="43">
        <f ca="1">WORKDAY(Inputs!$B$3, ROUND(C2134, 0),Sheet2!$A$2:$A$21)</f>
        <v>46252</v>
      </c>
    </row>
    <row r="2135" spans="1:4" x14ac:dyDescent="0.25">
      <c r="A2135" s="42">
        <f t="shared" si="35"/>
        <v>2134</v>
      </c>
      <c r="B2135" s="42" cm="1">
        <f t="array" aca="1" ref="B2135" ca="1">INDEX(Historical!$A$1:$A$18, RANDBETWEEN(1, COUNTA(Historical!$A$1:$A$18)))</f>
        <v>1.3692307692307693</v>
      </c>
      <c r="C2135" s="42">
        <f ca="1">Inputs!$B$2/B2135</f>
        <v>163.59550561797752</v>
      </c>
      <c r="D2135" s="43">
        <f ca="1">WORKDAY(Inputs!$B$3, ROUND(C2135, 0),Sheet2!$A$2:$A$21)</f>
        <v>46258</v>
      </c>
    </row>
    <row r="2136" spans="1:4" x14ac:dyDescent="0.25">
      <c r="A2136" s="42">
        <f t="shared" si="35"/>
        <v>2135</v>
      </c>
      <c r="B2136" s="42" cm="1">
        <f t="array" aca="1" ref="B2136" ca="1">INDEX(Historical!$A$1:$A$18, RANDBETWEEN(1, COUNTA(Historical!$A$1:$A$18)))</f>
        <v>1.290909090909091</v>
      </c>
      <c r="C2136" s="42">
        <f ca="1">Inputs!$B$2/B2136</f>
        <v>173.52112676056336</v>
      </c>
      <c r="D2136" s="43">
        <f ca="1">WORKDAY(Inputs!$B$3, ROUND(C2136, 0),Sheet2!$A$2:$A$21)</f>
        <v>46273</v>
      </c>
    </row>
    <row r="2137" spans="1:4" x14ac:dyDescent="0.25">
      <c r="A2137" s="42">
        <f t="shared" si="35"/>
        <v>2136</v>
      </c>
      <c r="B2137" s="42" cm="1">
        <f t="array" aca="1" ref="B2137" ca="1">INDEX(Historical!$A$1:$A$18, RANDBETWEEN(1, COUNTA(Historical!$A$1:$A$18)))</f>
        <v>1.5</v>
      </c>
      <c r="C2137" s="42">
        <f ca="1">Inputs!$B$2/B2137</f>
        <v>149.33333333333334</v>
      </c>
      <c r="D2137" s="43">
        <f ca="1">WORKDAY(Inputs!$B$3, ROUND(C2137, 0),Sheet2!$A$2:$A$21)</f>
        <v>46237</v>
      </c>
    </row>
    <row r="2138" spans="1:4" x14ac:dyDescent="0.25">
      <c r="A2138" s="42">
        <f t="shared" si="35"/>
        <v>2137</v>
      </c>
      <c r="B2138" s="42" cm="1">
        <f t="array" aca="1" ref="B2138" ca="1">INDEX(Historical!$A$1:$A$18, RANDBETWEEN(1, COUNTA(Historical!$A$1:$A$18)))</f>
        <v>1.4347826086956521</v>
      </c>
      <c r="C2138" s="42">
        <f ca="1">Inputs!$B$2/B2138</f>
        <v>156.12121212121212</v>
      </c>
      <c r="D2138" s="43">
        <f ca="1">WORKDAY(Inputs!$B$3, ROUND(C2138, 0),Sheet2!$A$2:$A$21)</f>
        <v>46246</v>
      </c>
    </row>
    <row r="2139" spans="1:4" x14ac:dyDescent="0.25">
      <c r="A2139" s="42">
        <f t="shared" si="35"/>
        <v>2138</v>
      </c>
      <c r="B2139" s="42" cm="1">
        <f t="array" aca="1" ref="B2139" ca="1">INDEX(Historical!$A$1:$A$18, RANDBETWEEN(1, COUNTA(Historical!$A$1:$A$18)))</f>
        <v>1.4347826086956521</v>
      </c>
      <c r="C2139" s="42">
        <f ca="1">Inputs!$B$2/B2139</f>
        <v>156.12121212121212</v>
      </c>
      <c r="D2139" s="43">
        <f ca="1">WORKDAY(Inputs!$B$3, ROUND(C2139, 0),Sheet2!$A$2:$A$21)</f>
        <v>46246</v>
      </c>
    </row>
    <row r="2140" spans="1:4" x14ac:dyDescent="0.25">
      <c r="A2140" s="42">
        <f t="shared" si="35"/>
        <v>2139</v>
      </c>
      <c r="B2140" s="42" cm="1">
        <f t="array" aca="1" ref="B2140" ca="1">INDEX(Historical!$A$1:$A$18, RANDBETWEEN(1, COUNTA(Historical!$A$1:$A$18)))</f>
        <v>1.4347826086956521</v>
      </c>
      <c r="C2140" s="42">
        <f ca="1">Inputs!$B$2/B2140</f>
        <v>156.12121212121212</v>
      </c>
      <c r="D2140" s="43">
        <f ca="1">WORKDAY(Inputs!$B$3, ROUND(C2140, 0),Sheet2!$A$2:$A$21)</f>
        <v>46246</v>
      </c>
    </row>
    <row r="2141" spans="1:4" x14ac:dyDescent="0.25">
      <c r="A2141" s="42">
        <f t="shared" si="35"/>
        <v>2140</v>
      </c>
      <c r="B2141" s="42" cm="1">
        <f t="array" aca="1" ref="B2141" ca="1">INDEX(Historical!$A$1:$A$18, RANDBETWEEN(1, COUNTA(Historical!$A$1:$A$18)))</f>
        <v>1.3214285714285714</v>
      </c>
      <c r="C2141" s="42">
        <f ca="1">Inputs!$B$2/B2141</f>
        <v>169.51351351351352</v>
      </c>
      <c r="D2141" s="43">
        <f ca="1">WORKDAY(Inputs!$B$3, ROUND(C2141, 0),Sheet2!$A$2:$A$21)</f>
        <v>46266</v>
      </c>
    </row>
    <row r="2142" spans="1:4" x14ac:dyDescent="0.25">
      <c r="A2142" s="42">
        <f t="shared" si="35"/>
        <v>2141</v>
      </c>
      <c r="B2142" s="42" cm="1">
        <f t="array" aca="1" ref="B2142" ca="1">INDEX(Historical!$A$1:$A$18, RANDBETWEEN(1, COUNTA(Historical!$A$1:$A$18)))</f>
        <v>1.290909090909091</v>
      </c>
      <c r="C2142" s="42">
        <f ca="1">Inputs!$B$2/B2142</f>
        <v>173.52112676056336</v>
      </c>
      <c r="D2142" s="43">
        <f ca="1">WORKDAY(Inputs!$B$3, ROUND(C2142, 0),Sheet2!$A$2:$A$21)</f>
        <v>46273</v>
      </c>
    </row>
    <row r="2143" spans="1:4" x14ac:dyDescent="0.25">
      <c r="A2143" s="42">
        <f t="shared" si="35"/>
        <v>2142</v>
      </c>
      <c r="B2143" s="42" cm="1">
        <f t="array" aca="1" ref="B2143" ca="1">INDEX(Historical!$A$1:$A$18, RANDBETWEEN(1, COUNTA(Historical!$A$1:$A$18)))</f>
        <v>1.3611111111111112</v>
      </c>
      <c r="C2143" s="42">
        <f ca="1">Inputs!$B$2/B2143</f>
        <v>164.57142857142856</v>
      </c>
      <c r="D2143" s="43">
        <f ca="1">WORKDAY(Inputs!$B$3, ROUND(C2143, 0),Sheet2!$A$2:$A$21)</f>
        <v>46259</v>
      </c>
    </row>
    <row r="2144" spans="1:4" x14ac:dyDescent="0.25">
      <c r="A2144" s="42">
        <f t="shared" si="35"/>
        <v>2143</v>
      </c>
      <c r="B2144" s="42" cm="1">
        <f t="array" aca="1" ref="B2144" ca="1">INDEX(Historical!$A$1:$A$18, RANDBETWEEN(1, COUNTA(Historical!$A$1:$A$18)))</f>
        <v>1.3611111111111112</v>
      </c>
      <c r="C2144" s="42">
        <f ca="1">Inputs!$B$2/B2144</f>
        <v>164.57142857142856</v>
      </c>
      <c r="D2144" s="43">
        <f ca="1">WORKDAY(Inputs!$B$3, ROUND(C2144, 0),Sheet2!$A$2:$A$21)</f>
        <v>46259</v>
      </c>
    </row>
    <row r="2145" spans="1:4" x14ac:dyDescent="0.25">
      <c r="A2145" s="42">
        <f t="shared" si="35"/>
        <v>2144</v>
      </c>
      <c r="B2145" s="42" cm="1">
        <f t="array" aca="1" ref="B2145" ca="1">INDEX(Historical!$A$1:$A$18, RANDBETWEEN(1, COUNTA(Historical!$A$1:$A$18)))</f>
        <v>1.4038461538461537</v>
      </c>
      <c r="C2145" s="42">
        <f ca="1">Inputs!$B$2/B2145</f>
        <v>159.56164383561645</v>
      </c>
      <c r="D2145" s="43">
        <f ca="1">WORKDAY(Inputs!$B$3, ROUND(C2145, 0),Sheet2!$A$2:$A$21)</f>
        <v>46252</v>
      </c>
    </row>
    <row r="2146" spans="1:4" x14ac:dyDescent="0.25">
      <c r="A2146" s="42">
        <f t="shared" si="35"/>
        <v>2145</v>
      </c>
      <c r="B2146" s="42" cm="1">
        <f t="array" aca="1" ref="B2146" ca="1">INDEX(Historical!$A$1:$A$18, RANDBETWEEN(1, COUNTA(Historical!$A$1:$A$18)))</f>
        <v>1.3214285714285714</v>
      </c>
      <c r="C2146" s="42">
        <f ca="1">Inputs!$B$2/B2146</f>
        <v>169.51351351351352</v>
      </c>
      <c r="D2146" s="43">
        <f ca="1">WORKDAY(Inputs!$B$3, ROUND(C2146, 0),Sheet2!$A$2:$A$21)</f>
        <v>46266</v>
      </c>
    </row>
    <row r="2147" spans="1:4" x14ac:dyDescent="0.25">
      <c r="A2147" s="42">
        <f t="shared" si="35"/>
        <v>2146</v>
      </c>
      <c r="B2147" s="42" cm="1">
        <f t="array" aca="1" ref="B2147" ca="1">INDEX(Historical!$A$1:$A$18, RANDBETWEEN(1, COUNTA(Historical!$A$1:$A$18)))</f>
        <v>1.4137931034482758</v>
      </c>
      <c r="C2147" s="42">
        <f ca="1">Inputs!$B$2/B2147</f>
        <v>158.4390243902439</v>
      </c>
      <c r="D2147" s="43">
        <f ca="1">WORKDAY(Inputs!$B$3, ROUND(C2147, 0),Sheet2!$A$2:$A$21)</f>
        <v>46248</v>
      </c>
    </row>
    <row r="2148" spans="1:4" x14ac:dyDescent="0.25">
      <c r="A2148" s="42">
        <f t="shared" si="35"/>
        <v>2147</v>
      </c>
      <c r="B2148" s="42" cm="1">
        <f t="array" aca="1" ref="B2148" ca="1">INDEX(Historical!$A$1:$A$18, RANDBETWEEN(1, COUNTA(Historical!$A$1:$A$18)))</f>
        <v>1.3559322033898304</v>
      </c>
      <c r="C2148" s="42">
        <f ca="1">Inputs!$B$2/B2148</f>
        <v>165.20000000000002</v>
      </c>
      <c r="D2148" s="43">
        <f ca="1">WORKDAY(Inputs!$B$3, ROUND(C2148, 0),Sheet2!$A$2:$A$21)</f>
        <v>46259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BCD0-1E99-41D4-AAC4-2F2BBA257610}">
  <dimension ref="A1:AG42"/>
  <sheetViews>
    <sheetView zoomScale="80" zoomScaleNormal="80" workbookViewId="0">
      <selection activeCell="J11" sqref="J11"/>
    </sheetView>
  </sheetViews>
  <sheetFormatPr defaultRowHeight="15" x14ac:dyDescent="0.25"/>
  <cols>
    <col min="1" max="1" width="11.28515625" bestFit="1" customWidth="1"/>
    <col min="2" max="2" width="10.140625" bestFit="1" customWidth="1"/>
    <col min="3" max="3" width="9.5703125" bestFit="1" customWidth="1"/>
    <col min="4" max="4" width="9.42578125" bestFit="1" customWidth="1"/>
    <col min="5" max="6" width="15.5703125" bestFit="1" customWidth="1"/>
    <col min="7" max="7" width="16" bestFit="1" customWidth="1"/>
    <col min="8" max="8" width="10.85546875" customWidth="1"/>
    <col min="9" max="9" width="18.7109375" bestFit="1" customWidth="1"/>
    <col min="10" max="10" width="28" style="3" customWidth="1"/>
    <col min="11" max="11" width="18" style="4" customWidth="1"/>
    <col min="12" max="12" width="15.5703125" customWidth="1"/>
    <col min="13" max="13" width="27.140625" bestFit="1" customWidth="1"/>
    <col min="14" max="14" width="2.85546875" style="7" customWidth="1"/>
    <col min="15" max="15" width="9.140625" style="7"/>
    <col min="16" max="16" width="10.140625" style="7" customWidth="1"/>
    <col min="17" max="17" width="14.140625" style="7" customWidth="1"/>
    <col min="18" max="18" width="11.28515625" style="7" bestFit="1" customWidth="1"/>
    <col min="19" max="19" width="14.5703125" style="7" customWidth="1"/>
    <col min="20" max="21" width="9.140625" style="7"/>
    <col min="22" max="22" width="11.28515625" style="7" bestFit="1" customWidth="1"/>
    <col min="23" max="33" width="9.140625" style="7"/>
  </cols>
  <sheetData>
    <row r="1" spans="1:33" s="2" customFormat="1" ht="30" customHeight="1" x14ac:dyDescent="0.25">
      <c r="A1" s="31" t="s">
        <v>0</v>
      </c>
      <c r="B1" s="31" t="s">
        <v>1</v>
      </c>
      <c r="C1" s="31" t="s">
        <v>2</v>
      </c>
      <c r="D1" s="31" t="s">
        <v>3</v>
      </c>
      <c r="E1" s="31" t="s">
        <v>4</v>
      </c>
      <c r="F1" s="31" t="s">
        <v>22</v>
      </c>
      <c r="G1" s="31" t="s">
        <v>21</v>
      </c>
      <c r="H1" s="31" t="s">
        <v>5</v>
      </c>
      <c r="I1" s="31" t="s">
        <v>20</v>
      </c>
      <c r="J1" s="31" t="s">
        <v>8</v>
      </c>
      <c r="K1" s="32" t="s">
        <v>19</v>
      </c>
      <c r="L1" s="31" t="s">
        <v>9</v>
      </c>
      <c r="M1" s="31" t="s">
        <v>30</v>
      </c>
      <c r="N1" s="13"/>
      <c r="O1" s="10"/>
      <c r="P1" s="10"/>
      <c r="Q1" s="10"/>
      <c r="R1" s="10"/>
      <c r="S1" s="10"/>
      <c r="T1" s="10"/>
      <c r="U1" s="10"/>
      <c r="V1" s="10"/>
      <c r="W1" s="10"/>
      <c r="X1" s="10"/>
      <c r="Y1" s="10"/>
      <c r="Z1" s="10"/>
      <c r="AA1" s="10"/>
      <c r="AB1" s="10"/>
      <c r="AC1" s="10"/>
      <c r="AD1" s="10"/>
      <c r="AE1" s="10"/>
      <c r="AF1" s="10"/>
      <c r="AG1" s="10"/>
    </row>
    <row r="2" spans="1:33" x14ac:dyDescent="0.25">
      <c r="A2" s="1">
        <v>45889</v>
      </c>
      <c r="B2" s="1">
        <v>45676</v>
      </c>
      <c r="J2" s="3" t="str">
        <f>IFERROR(WORKDAY($A2, ROUNDUP(MAX(0, _xlfn.DAYS($A2, $B2)) / $H2, 0),Sheet2!$A$2:$A$21),"")</f>
        <v/>
      </c>
      <c r="K2" s="4" t="str">
        <f>IFERROR(WORKDAY($A2, ROUNDUP(MAX(0, _xlfn.DAYS($A2, $B2)) / $H2, 0),Sheet2!$A$2:$A$21)-A2,"")</f>
        <v/>
      </c>
      <c r="L2">
        <f>_xlfn.DAYS(A2,B2)</f>
        <v>213</v>
      </c>
      <c r="M2" s="3">
        <f>IFERROR(WORKDAY($A2, ROUNDUP(MAX(0, _xlfn.DAYS($A2, $B2)) / $H$28, 0),Sheet2!$A$2:$A$21),"")</f>
        <v>46120</v>
      </c>
      <c r="N2" s="14"/>
    </row>
    <row r="3" spans="1:33" x14ac:dyDescent="0.25">
      <c r="A3" s="1">
        <v>45908</v>
      </c>
      <c r="B3" s="1">
        <v>45690</v>
      </c>
      <c r="C3">
        <f>IF(B3="","",B3-B2)</f>
        <v>14</v>
      </c>
      <c r="D3">
        <f>IF(A3="","",NETWORKDAYS(A2,A3,Sheet2!$A$2:$A$21)-1)</f>
        <v>12</v>
      </c>
      <c r="E3">
        <f>C3/D3</f>
        <v>1.1666666666666667</v>
      </c>
      <c r="F3">
        <f>SUM($C$3:C3)</f>
        <v>14</v>
      </c>
      <c r="G3">
        <f>SUM($D$3:D3)</f>
        <v>12</v>
      </c>
      <c r="H3">
        <f>F3/G3</f>
        <v>1.1666666666666667</v>
      </c>
      <c r="I3">
        <f>(A3-B3)/E3</f>
        <v>186.85714285714283</v>
      </c>
      <c r="J3" s="3">
        <f>IFERROR(WORKDAY($A3, ROUNDUP(MAX(0, _xlfn.DAYS($A3, $B3)) / $H3, 0),Sheet2!$A$2:$A$21),"")</f>
        <v>46181</v>
      </c>
      <c r="K3" s="4">
        <f>IFERROR(WORKDAY($A3, ROUNDUP(MAX(0, _xlfn.DAYS($A3, $B3)) / $H3, 0),Sheet2!$A$2:$A$21)-A3,"")</f>
        <v>273</v>
      </c>
      <c r="L3">
        <f t="shared" ref="L3:L19" si="0">_xlfn.DAYS(A3,B3)</f>
        <v>218</v>
      </c>
      <c r="M3" s="3">
        <f>IFERROR(WORKDAY($A3, ROUNDUP(MAX(0, _xlfn.DAYS($A3, $B3)) / $H$28, 0),Sheet2!$A$2:$A$21),"")</f>
        <v>46142</v>
      </c>
      <c r="N3" s="14"/>
    </row>
    <row r="4" spans="1:33" x14ac:dyDescent="0.25">
      <c r="A4" s="1">
        <v>45915</v>
      </c>
      <c r="B4" s="1">
        <v>45698</v>
      </c>
      <c r="C4">
        <f t="shared" ref="C4:C26" si="1">IF(B4="","",B4-B3)</f>
        <v>8</v>
      </c>
      <c r="D4">
        <f>IF(A4="","",NETWORKDAYS(A3,A4,Sheet2!$A$2:$A$21)-1)</f>
        <v>5</v>
      </c>
      <c r="E4">
        <f t="shared" ref="E4:E26" si="2">C4/D4</f>
        <v>1.6</v>
      </c>
      <c r="F4">
        <f>SUM($C$3:C4)</f>
        <v>22</v>
      </c>
      <c r="G4">
        <f>SUM($D$3:D4)</f>
        <v>17</v>
      </c>
      <c r="H4">
        <f t="shared" ref="H4:H26" si="3">F4/G4</f>
        <v>1.2941176470588236</v>
      </c>
      <c r="I4">
        <f t="shared" ref="I4:I26" si="4">(A4-B4)/E4</f>
        <v>135.625</v>
      </c>
      <c r="J4" s="3">
        <f>IFERROR(WORKDAY($A4, ROUNDUP(MAX(0, _xlfn.DAYS($A4, $B4)) / $H4, 0),Sheet2!$A$2:$A$21),"")</f>
        <v>46160</v>
      </c>
      <c r="K4" s="4">
        <f>IFERROR(WORKDAY($A4, ROUNDUP(MAX(0, _xlfn.DAYS($A4, $B4)) / $H4, 0),Sheet2!$A$2:$A$21)-A4,"")</f>
        <v>245</v>
      </c>
      <c r="L4">
        <f t="shared" si="0"/>
        <v>217</v>
      </c>
      <c r="M4" s="3">
        <f>IFERROR(WORKDAY($A4, ROUNDUP(MAX(0, _xlfn.DAYS($A4, $B4)) / $H$28, 0),Sheet2!$A$2:$A$21),"")</f>
        <v>46148</v>
      </c>
      <c r="N4" s="14"/>
    </row>
    <row r="5" spans="1:33" x14ac:dyDescent="0.25">
      <c r="A5" s="1">
        <v>45919</v>
      </c>
      <c r="B5" s="1">
        <v>45707</v>
      </c>
      <c r="C5">
        <f t="shared" si="1"/>
        <v>9</v>
      </c>
      <c r="D5">
        <f>IF(A5="","",NETWORKDAYS(A4,A5,Sheet2!$A$2:$A$21)-1)</f>
        <v>4</v>
      </c>
      <c r="E5">
        <f t="shared" si="2"/>
        <v>2.25</v>
      </c>
      <c r="F5">
        <f>SUM($C$3:C5)</f>
        <v>31</v>
      </c>
      <c r="G5">
        <f>SUM($D$3:D5)</f>
        <v>21</v>
      </c>
      <c r="H5">
        <f t="shared" si="3"/>
        <v>1.4761904761904763</v>
      </c>
      <c r="I5">
        <f t="shared" si="4"/>
        <v>94.222222222222229</v>
      </c>
      <c r="J5" s="3">
        <f>IFERROR(WORKDAY($A5, ROUNDUP(MAX(0, _xlfn.DAYS($A5, $B5)) / $H5, 0),Sheet2!$A$2:$A$21),"")</f>
        <v>46132</v>
      </c>
      <c r="K5" s="4">
        <f>IFERROR(WORKDAY($A5, ROUNDUP(MAX(0, _xlfn.DAYS($A5, $B5)) / $H5, 0),Sheet2!$A$2:$A$21)-A5,"")</f>
        <v>213</v>
      </c>
      <c r="L5">
        <f t="shared" si="0"/>
        <v>212</v>
      </c>
      <c r="M5" s="3">
        <f>IFERROR(WORKDAY($A5, ROUNDUP(MAX(0, _xlfn.DAYS($A5, $B5)) / $H$28, 0),Sheet2!$A$2:$A$21),"")</f>
        <v>46148</v>
      </c>
      <c r="N5" s="14"/>
    </row>
    <row r="6" spans="1:33" x14ac:dyDescent="0.25">
      <c r="A6" s="1">
        <v>45923</v>
      </c>
      <c r="B6" s="1">
        <v>45709</v>
      </c>
      <c r="C6">
        <f t="shared" si="1"/>
        <v>2</v>
      </c>
      <c r="D6">
        <f>IF(A6="","",NETWORKDAYS(A5,A6,Sheet2!$A$2:$A$21)-1)</f>
        <v>2</v>
      </c>
      <c r="E6">
        <f t="shared" si="2"/>
        <v>1</v>
      </c>
      <c r="F6">
        <f>SUM($C$3:C6)</f>
        <v>33</v>
      </c>
      <c r="G6">
        <f>SUM($D$3:D6)</f>
        <v>23</v>
      </c>
      <c r="H6">
        <f t="shared" si="3"/>
        <v>1.4347826086956521</v>
      </c>
      <c r="I6">
        <f t="shared" si="4"/>
        <v>214</v>
      </c>
      <c r="J6" s="3">
        <f>IFERROR(WORKDAY($A6, ROUNDUP(MAX(0, _xlfn.DAYS($A6, $B6)) / $H6, 0),Sheet2!$A$2:$A$21),"")</f>
        <v>46142</v>
      </c>
      <c r="K6" s="4">
        <f>IFERROR(WORKDAY($A6, ROUNDUP(MAX(0, _xlfn.DAYS($A6, $B6)) / $H6, 0),Sheet2!$A$2:$A$21)-A6,"")</f>
        <v>219</v>
      </c>
      <c r="L6">
        <f t="shared" si="0"/>
        <v>214</v>
      </c>
      <c r="M6" s="3">
        <f>IFERROR(WORKDAY($A6, ROUNDUP(MAX(0, _xlfn.DAYS($A6, $B6)) / $H$28, 0),Sheet2!$A$2:$A$21),"")</f>
        <v>46154</v>
      </c>
      <c r="N6" s="14"/>
    </row>
    <row r="7" spans="1:33" x14ac:dyDescent="0.25">
      <c r="A7" s="1">
        <v>45924</v>
      </c>
      <c r="B7" s="1">
        <v>45712</v>
      </c>
      <c r="C7">
        <f t="shared" si="1"/>
        <v>3</v>
      </c>
      <c r="D7">
        <f>IF(A7="","",NETWORKDAYS(A6,A7,Sheet2!$A$2:$A$21)-1)</f>
        <v>1</v>
      </c>
      <c r="E7">
        <f t="shared" si="2"/>
        <v>3</v>
      </c>
      <c r="F7">
        <f>SUM($C$3:C7)</f>
        <v>36</v>
      </c>
      <c r="G7">
        <f>SUM($D$3:D7)</f>
        <v>24</v>
      </c>
      <c r="H7">
        <f t="shared" si="3"/>
        <v>1.5</v>
      </c>
      <c r="I7">
        <f t="shared" si="4"/>
        <v>70.666666666666671</v>
      </c>
      <c r="J7" s="3">
        <f>IFERROR(WORKDAY($A7, ROUNDUP(MAX(0, _xlfn.DAYS($A7, $B7)) / $H7, 0),Sheet2!$A$2:$A$21),"")</f>
        <v>46133</v>
      </c>
      <c r="K7" s="4">
        <f>IFERROR(WORKDAY($A7, ROUNDUP(MAX(0, _xlfn.DAYS($A7, $B7)) / $H7, 0),Sheet2!$A$2:$A$21)-A7,"")</f>
        <v>209</v>
      </c>
      <c r="L7">
        <f t="shared" si="0"/>
        <v>212</v>
      </c>
      <c r="M7" s="3">
        <f>IFERROR(WORKDAY($A7, ROUNDUP(MAX(0, _xlfn.DAYS($A7, $B7)) / $H$28, 0),Sheet2!$A$2:$A$21),"")</f>
        <v>46153</v>
      </c>
      <c r="N7" s="14"/>
    </row>
    <row r="8" spans="1:33" ht="15.75" thickBot="1" x14ac:dyDescent="0.3">
      <c r="A8" s="1">
        <v>45926</v>
      </c>
      <c r="B8" s="1">
        <v>45712</v>
      </c>
      <c r="C8">
        <v>0.5</v>
      </c>
      <c r="D8">
        <f>IF(A8="","",NETWORKDAYS(A7,A8,Sheet2!$A$2:$A$21)-1)</f>
        <v>2</v>
      </c>
      <c r="E8">
        <f t="shared" si="2"/>
        <v>0.25</v>
      </c>
      <c r="F8">
        <f>SUM($C$3:C8)</f>
        <v>36.5</v>
      </c>
      <c r="G8">
        <f>SUM($D$3:D8)</f>
        <v>26</v>
      </c>
      <c r="H8">
        <f t="shared" si="3"/>
        <v>1.4038461538461537</v>
      </c>
      <c r="I8">
        <f t="shared" si="4"/>
        <v>856</v>
      </c>
      <c r="J8" s="3">
        <f>IFERROR(WORKDAY($A8, ROUNDUP(MAX(0, _xlfn.DAYS($A8, $B8)) / $H8, 0),Sheet2!$A$2:$A$21),"")</f>
        <v>46150</v>
      </c>
      <c r="K8" s="4">
        <f>IFERROR(WORKDAY($A8, ROUNDUP(MAX(0, _xlfn.DAYS($A8, $B8)) / $H8, 0),Sheet2!$A$2:$A$21)-A8,"")</f>
        <v>224</v>
      </c>
      <c r="L8">
        <f t="shared" si="0"/>
        <v>214</v>
      </c>
      <c r="M8" s="3">
        <f>IFERROR(WORKDAY($A8, ROUNDUP(MAX(0, _xlfn.DAYS($A8, $B8)) / $H$28, 0),Sheet2!$A$2:$A$21),"")</f>
        <v>46157</v>
      </c>
      <c r="N8" s="14"/>
    </row>
    <row r="9" spans="1:33" ht="15.75" thickBot="1" x14ac:dyDescent="0.3">
      <c r="A9" s="1">
        <v>45929</v>
      </c>
      <c r="B9" s="1">
        <v>45712</v>
      </c>
      <c r="C9">
        <v>0.25</v>
      </c>
      <c r="D9">
        <f>IF(A9="","",NETWORKDAYS(A8,A9,Sheet2!$A$2:$A$21)-1)</f>
        <v>1</v>
      </c>
      <c r="E9">
        <f t="shared" si="2"/>
        <v>0.25</v>
      </c>
      <c r="F9">
        <f>SUM($C$3:C9)</f>
        <v>36.75</v>
      </c>
      <c r="G9">
        <f>SUM($D$3:D9)</f>
        <v>27</v>
      </c>
      <c r="H9">
        <f t="shared" si="3"/>
        <v>1.3611111111111112</v>
      </c>
      <c r="I9">
        <f t="shared" si="4"/>
        <v>868</v>
      </c>
      <c r="J9" s="3">
        <f>IFERROR(WORKDAY($A9, ROUNDUP(MAX(0, _xlfn.DAYS($A9, $B9)) / $H9, 0),Sheet2!$A$2:$A$21),"")</f>
        <v>46162</v>
      </c>
      <c r="K9" s="4">
        <f>IFERROR(WORKDAY($A9, ROUNDUP(MAX(0, _xlfn.DAYS($A9, $B9)) / $H9, 0),Sheet2!$A$2:$A$21)-A9,"")</f>
        <v>233</v>
      </c>
      <c r="L9">
        <f t="shared" si="0"/>
        <v>217</v>
      </c>
      <c r="M9" s="3">
        <f>IFERROR(WORKDAY($A9, ROUNDUP(MAX(0, _xlfn.DAYS($A9, $B9)) / $H$28, 0),Sheet2!$A$2:$A$21),"")</f>
        <v>46162</v>
      </c>
      <c r="N9" s="14"/>
      <c r="P9" s="26"/>
      <c r="Q9" s="24"/>
      <c r="R9" s="24"/>
      <c r="S9" s="24"/>
      <c r="T9" s="25"/>
    </row>
    <row r="10" spans="1:33" x14ac:dyDescent="0.25">
      <c r="A10" s="1">
        <v>45930</v>
      </c>
      <c r="B10" s="1">
        <v>45712</v>
      </c>
      <c r="C10">
        <v>0.25</v>
      </c>
      <c r="D10">
        <f>IF(A10="","",NETWORKDAYS(A9,A10,Sheet2!$A$2:$A$21)-1)</f>
        <v>1</v>
      </c>
      <c r="E10">
        <f t="shared" si="2"/>
        <v>0.25</v>
      </c>
      <c r="F10">
        <f>SUM($C$3:C10)</f>
        <v>37</v>
      </c>
      <c r="G10">
        <f>SUM($D$3:D10)</f>
        <v>28</v>
      </c>
      <c r="H10">
        <f t="shared" si="3"/>
        <v>1.3214285714285714</v>
      </c>
      <c r="I10">
        <f t="shared" si="4"/>
        <v>872</v>
      </c>
      <c r="J10" s="3">
        <f>IFERROR(WORKDAY($A10, ROUNDUP(MAX(0, _xlfn.DAYS($A10, $B10)) / $H10, 0),Sheet2!$A$2:$A$21),"")</f>
        <v>46171</v>
      </c>
      <c r="K10" s="4">
        <f>IFERROR(WORKDAY($A10, ROUNDUP(MAX(0, _xlfn.DAYS($A10, $B10)) / $H10, 0),Sheet2!$A$2:$A$21)-A10,"")</f>
        <v>241</v>
      </c>
      <c r="L10">
        <f t="shared" si="0"/>
        <v>218</v>
      </c>
      <c r="M10" s="3">
        <f>IFERROR(WORKDAY($A10, ROUNDUP(MAX(0, _xlfn.DAYS($A10, $B10)) / $H$28, 0),Sheet2!$A$2:$A$21),"")</f>
        <v>46164</v>
      </c>
      <c r="N10" s="14"/>
      <c r="P10" s="16"/>
      <c r="Q10" s="17"/>
      <c r="R10" s="17"/>
      <c r="S10" s="17"/>
      <c r="T10" s="18"/>
    </row>
    <row r="11" spans="1:33" x14ac:dyDescent="0.25">
      <c r="A11" s="1">
        <v>45931</v>
      </c>
      <c r="B11" s="1">
        <v>45716</v>
      </c>
      <c r="C11">
        <f t="shared" si="1"/>
        <v>4</v>
      </c>
      <c r="D11">
        <f>IF(A11="","",NETWORKDAYS(A10,A11,Sheet2!$A$2:$A$21)-1)</f>
        <v>1</v>
      </c>
      <c r="E11">
        <f t="shared" si="2"/>
        <v>4</v>
      </c>
      <c r="F11">
        <f>SUM($C$3:C11)</f>
        <v>41</v>
      </c>
      <c r="G11">
        <f>SUM($D$3:D11)</f>
        <v>29</v>
      </c>
      <c r="H11">
        <f t="shared" si="3"/>
        <v>1.4137931034482758</v>
      </c>
      <c r="I11">
        <f t="shared" si="4"/>
        <v>53.75</v>
      </c>
      <c r="J11" s="3">
        <f>IFERROR(WORKDAY($A11, ROUNDUP(MAX(0, _xlfn.DAYS($A11, $B11)) / $H11, 0),Sheet2!$A$2:$A$21),"")</f>
        <v>46155</v>
      </c>
      <c r="K11" s="4">
        <f>IFERROR(WORKDAY($A11, ROUNDUP(MAX(0, _xlfn.DAYS($A11, $B11)) / $H11, 0),Sheet2!$A$2:$A$21)-A11,"")</f>
        <v>224</v>
      </c>
      <c r="L11">
        <f t="shared" si="0"/>
        <v>215</v>
      </c>
      <c r="M11" s="3">
        <f>IFERROR(WORKDAY($A11, ROUNDUP(MAX(0, _xlfn.DAYS($A11, $B11)) / $H$28, 0),Sheet2!$A$2:$A$21),"")</f>
        <v>46163</v>
      </c>
      <c r="N11" s="14"/>
      <c r="P11" s="20"/>
      <c r="Q11" s="17"/>
      <c r="R11" s="27" t="s">
        <v>34</v>
      </c>
      <c r="S11" s="17"/>
      <c r="T11" s="18"/>
    </row>
    <row r="12" spans="1:33" x14ac:dyDescent="0.25">
      <c r="A12" s="1">
        <v>45937</v>
      </c>
      <c r="B12" s="1">
        <v>45718</v>
      </c>
      <c r="C12">
        <f t="shared" si="1"/>
        <v>2</v>
      </c>
      <c r="D12">
        <f>IF(A12="","",NETWORKDAYS(A11,A12,Sheet2!$A$2:$A$21)-1)</f>
        <v>4</v>
      </c>
      <c r="E12">
        <f t="shared" si="2"/>
        <v>0.5</v>
      </c>
      <c r="F12">
        <f>SUM($C$3:C12)</f>
        <v>43</v>
      </c>
      <c r="G12">
        <f>SUM($D$3:D12)</f>
        <v>33</v>
      </c>
      <c r="H12">
        <f t="shared" si="3"/>
        <v>1.303030303030303</v>
      </c>
      <c r="I12">
        <f t="shared" si="4"/>
        <v>438</v>
      </c>
      <c r="J12" s="3">
        <f>IFERROR(WORKDAY($A12, ROUNDUP(MAX(0, _xlfn.DAYS($A12, $B12)) / $H12, 0),Sheet2!$A$2:$A$21),"")</f>
        <v>46184</v>
      </c>
      <c r="K12" s="4">
        <f>IFERROR(WORKDAY($A12, ROUNDUP(MAX(0, _xlfn.DAYS($A12, $B12)) / $H12, 0),Sheet2!$A$2:$A$21)-A12,"")</f>
        <v>247</v>
      </c>
      <c r="L12">
        <f t="shared" si="0"/>
        <v>219</v>
      </c>
      <c r="M12" s="3">
        <f>IFERROR(WORKDAY($A12, ROUNDUP(MAX(0, _xlfn.DAYS($A12, $B12)) / $H$28, 0),Sheet2!$A$2:$A$21),"")</f>
        <v>46175</v>
      </c>
      <c r="N12" s="14"/>
      <c r="P12" s="20"/>
      <c r="Q12" s="19"/>
      <c r="R12" s="29">
        <v>45764</v>
      </c>
      <c r="S12" s="19"/>
      <c r="T12" s="18"/>
      <c r="V12" s="11">
        <v>46002</v>
      </c>
    </row>
    <row r="13" spans="1:33" x14ac:dyDescent="0.25">
      <c r="A13" s="1">
        <v>45945</v>
      </c>
      <c r="B13" s="1">
        <v>45725</v>
      </c>
      <c r="C13">
        <f t="shared" si="1"/>
        <v>7</v>
      </c>
      <c r="D13">
        <f>IF(A13="","",NETWORKDAYS(A12,A13,Sheet2!$A$2:$A$21)-1)</f>
        <v>5</v>
      </c>
      <c r="E13">
        <f t="shared" si="2"/>
        <v>1.4</v>
      </c>
      <c r="F13">
        <f>SUM($C$3:C13)</f>
        <v>50</v>
      </c>
      <c r="G13">
        <f>SUM($D$3:D13)</f>
        <v>38</v>
      </c>
      <c r="H13">
        <f t="shared" si="3"/>
        <v>1.3157894736842106</v>
      </c>
      <c r="I13">
        <f t="shared" si="4"/>
        <v>157.14285714285714</v>
      </c>
      <c r="J13" s="3">
        <f>IFERROR(WORKDAY($A13, ROUNDUP(MAX(0, _xlfn.DAYS($A13, $B13)) / $H13, 0),Sheet2!$A$2:$A$21),"")</f>
        <v>46190</v>
      </c>
      <c r="K13" s="4">
        <f>IFERROR(WORKDAY($A13, ROUNDUP(MAX(0, _xlfn.DAYS($A13, $B13)) / $H13, 0),Sheet2!$A$2:$A$21)-A13,"")</f>
        <v>245</v>
      </c>
      <c r="L13">
        <f t="shared" si="0"/>
        <v>220</v>
      </c>
      <c r="M13" s="3">
        <f>IFERROR(WORKDAY($A13, ROUNDUP(MAX(0, _xlfn.DAYS($A13, $B13)) / $H$28, 0),Sheet2!$A$2:$A$21),"")</f>
        <v>46182</v>
      </c>
      <c r="N13" s="14"/>
      <c r="P13" s="16"/>
      <c r="Q13" s="19"/>
      <c r="R13" s="28"/>
      <c r="S13" s="28"/>
      <c r="T13" s="18"/>
    </row>
    <row r="14" spans="1:33" x14ac:dyDescent="0.25">
      <c r="A14" s="1">
        <v>45958</v>
      </c>
      <c r="B14" s="1">
        <v>45739</v>
      </c>
      <c r="C14">
        <f t="shared" si="1"/>
        <v>14</v>
      </c>
      <c r="D14">
        <f>IF(A14="","",NETWORKDAYS(A13,A14,Sheet2!$A$2:$A$21)-1)</f>
        <v>9</v>
      </c>
      <c r="E14">
        <f t="shared" si="2"/>
        <v>1.5555555555555556</v>
      </c>
      <c r="F14">
        <f>SUM($C$3:C14)</f>
        <v>64</v>
      </c>
      <c r="G14">
        <f>SUM($D$3:D14)</f>
        <v>47</v>
      </c>
      <c r="H14">
        <f t="shared" si="3"/>
        <v>1.3617021276595744</v>
      </c>
      <c r="I14">
        <f t="shared" si="4"/>
        <v>140.78571428571428</v>
      </c>
      <c r="J14" s="3">
        <f>IFERROR(WORKDAY($A14, ROUNDUP(MAX(0, _xlfn.DAYS($A14, $B14)) / $H14, 0),Sheet2!$A$2:$A$21),"")</f>
        <v>46192</v>
      </c>
      <c r="K14" s="4">
        <f>IFERROR(WORKDAY($A14, ROUNDUP(MAX(0, _xlfn.DAYS($A14, $B14)) / $H14, 0),Sheet2!$A$2:$A$21)-A14,"")</f>
        <v>234</v>
      </c>
      <c r="L14">
        <f t="shared" si="0"/>
        <v>219</v>
      </c>
      <c r="M14" s="3">
        <f>IFERROR(WORKDAY($A14, ROUNDUP(MAX(0, _xlfn.DAYS($A14, $B14)) / $H$28, 0),Sheet2!$A$2:$A$21),"")</f>
        <v>46195</v>
      </c>
      <c r="N14" s="14"/>
      <c r="P14" s="20"/>
      <c r="Q14" s="19"/>
      <c r="R14" s="28" t="s">
        <v>37</v>
      </c>
      <c r="S14" s="28"/>
      <c r="T14" s="18"/>
    </row>
    <row r="15" spans="1:33" x14ac:dyDescent="0.25">
      <c r="A15" s="1">
        <v>45968</v>
      </c>
      <c r="B15" s="1">
        <v>45746</v>
      </c>
      <c r="C15">
        <f t="shared" si="1"/>
        <v>7</v>
      </c>
      <c r="D15">
        <f>IF(A15="","",NETWORKDAYS(A14,A15,Sheet2!$A$2:$A$21)-1)</f>
        <v>8</v>
      </c>
      <c r="E15">
        <f t="shared" si="2"/>
        <v>0.875</v>
      </c>
      <c r="F15">
        <f>SUM($C$3:C15)</f>
        <v>71</v>
      </c>
      <c r="G15">
        <f>SUM($D$3:D15)</f>
        <v>55</v>
      </c>
      <c r="H15">
        <f t="shared" si="3"/>
        <v>1.290909090909091</v>
      </c>
      <c r="I15">
        <f t="shared" si="4"/>
        <v>253.71428571428572</v>
      </c>
      <c r="J15" s="3">
        <f>IFERROR(WORKDAY($A15, ROUNDUP(MAX(0, _xlfn.DAYS($A15, $B15)) / $H15, 0),Sheet2!$A$2:$A$21),"")</f>
        <v>46220</v>
      </c>
      <c r="K15" s="4">
        <f>IFERROR(WORKDAY($A15, ROUNDUP(MAX(0, _xlfn.DAYS($A15, $B15)) / $H15, 0),Sheet2!$A$2:$A$21)-A15,"")</f>
        <v>252</v>
      </c>
      <c r="L15">
        <f t="shared" si="0"/>
        <v>222</v>
      </c>
      <c r="M15" s="3">
        <f>IFERROR(WORKDAY($A15, ROUNDUP(MAX(0, _xlfn.DAYS($A15, $B15)) / $H$28, 0),Sheet2!$A$2:$A$21),"")</f>
        <v>46210</v>
      </c>
      <c r="N15" s="14"/>
      <c r="P15" s="16"/>
      <c r="Q15" s="19"/>
      <c r="R15" s="65">
        <f>R12*1.00474635070856</f>
        <v>45981.211993826546</v>
      </c>
      <c r="S15" s="28"/>
      <c r="T15" s="18"/>
    </row>
    <row r="16" spans="1:33" x14ac:dyDescent="0.25">
      <c r="A16" s="1">
        <v>45971</v>
      </c>
      <c r="B16" s="1">
        <v>45752</v>
      </c>
      <c r="C16">
        <f t="shared" si="1"/>
        <v>6</v>
      </c>
      <c r="D16">
        <f>IF(A16="","",NETWORKDAYS(A15,A16,Sheet2!$A$2:$A$21)-1)</f>
        <v>1</v>
      </c>
      <c r="E16">
        <f t="shared" si="2"/>
        <v>6</v>
      </c>
      <c r="F16">
        <f>SUM($C$3:C16)</f>
        <v>77</v>
      </c>
      <c r="G16">
        <f>SUM($D$3:D16)</f>
        <v>56</v>
      </c>
      <c r="H16">
        <f t="shared" si="3"/>
        <v>1.375</v>
      </c>
      <c r="I16">
        <f t="shared" si="4"/>
        <v>36.5</v>
      </c>
      <c r="J16" s="3">
        <f>IFERROR(WORKDAY($A16, ROUNDUP(MAX(0, _xlfn.DAYS($A16, $B16)) / $H16, 0),Sheet2!$A$2:$A$21),"")</f>
        <v>46204</v>
      </c>
      <c r="K16" s="4">
        <f>IFERROR(WORKDAY($A16, ROUNDUP(MAX(0, _xlfn.DAYS($A16, $B16)) / $H16, 0),Sheet2!$A$2:$A$21)-A16,"")</f>
        <v>233</v>
      </c>
      <c r="L16">
        <f t="shared" si="0"/>
        <v>219</v>
      </c>
      <c r="M16" s="3">
        <f>IFERROR(WORKDAY($A16, ROUNDUP(MAX(0, _xlfn.DAYS($A16, $B16)) / $H$28, 0),Sheet2!$A$2:$A$21),"")</f>
        <v>46209</v>
      </c>
      <c r="N16" s="14"/>
      <c r="P16" s="16"/>
      <c r="Q16" s="17"/>
      <c r="R16" s="65"/>
      <c r="S16" s="17"/>
      <c r="T16" s="18"/>
      <c r="V16" s="11">
        <f>V12/1.00474635070856</f>
        <v>45784.689805102345</v>
      </c>
    </row>
    <row r="17" spans="1:20" x14ac:dyDescent="0.25">
      <c r="A17" s="1">
        <v>45973</v>
      </c>
      <c r="B17" s="1">
        <v>45753</v>
      </c>
      <c r="C17">
        <f t="shared" si="1"/>
        <v>1</v>
      </c>
      <c r="D17">
        <f>IF(A17="","",NETWORKDAYS(A16,A17,Sheet2!$A$2:$A$21)-1)</f>
        <v>1</v>
      </c>
      <c r="E17">
        <f t="shared" si="2"/>
        <v>1</v>
      </c>
      <c r="F17">
        <f>SUM($C$3:C17)</f>
        <v>78</v>
      </c>
      <c r="G17">
        <f>SUM($D$3:D17)</f>
        <v>57</v>
      </c>
      <c r="H17">
        <f t="shared" si="3"/>
        <v>1.368421052631579</v>
      </c>
      <c r="I17">
        <f t="shared" si="4"/>
        <v>220</v>
      </c>
      <c r="J17" s="3">
        <f>IFERROR(WORKDAY($A17, ROUNDUP(MAX(0, _xlfn.DAYS($A17, $B17)) / $H17, 0),Sheet2!$A$2:$A$21),"")</f>
        <v>46209</v>
      </c>
      <c r="K17" s="4">
        <f>IFERROR(WORKDAY($A17, ROUNDUP(MAX(0, _xlfn.DAYS($A17, $B17)) / $H17, 0),Sheet2!$A$2:$A$21)-A17,"")</f>
        <v>236</v>
      </c>
      <c r="L17">
        <f t="shared" si="0"/>
        <v>220</v>
      </c>
      <c r="M17" s="3">
        <f>IFERROR(WORKDAY($A17, ROUNDUP(MAX(0, _xlfn.DAYS($A17, $B17)) / $H$28, 0),Sheet2!$A$2:$A$21),"")</f>
        <v>46210</v>
      </c>
      <c r="N17" s="14"/>
      <c r="P17" s="16"/>
      <c r="Q17" s="17"/>
      <c r="R17" s="30" t="s">
        <v>38</v>
      </c>
      <c r="S17" s="17"/>
      <c r="T17" s="18"/>
    </row>
    <row r="18" spans="1:20" ht="15.75" thickBot="1" x14ac:dyDescent="0.3">
      <c r="A18" s="1">
        <v>45975</v>
      </c>
      <c r="B18" s="1">
        <v>45755</v>
      </c>
      <c r="C18">
        <f t="shared" si="1"/>
        <v>2</v>
      </c>
      <c r="D18">
        <f>IF(A18="","",NETWORKDAYS(A17,A18,Sheet2!$A$2:$A$21)-1)</f>
        <v>2</v>
      </c>
      <c r="E18">
        <f t="shared" si="2"/>
        <v>1</v>
      </c>
      <c r="F18">
        <f>SUM($C$3:C18)</f>
        <v>80</v>
      </c>
      <c r="G18">
        <f>SUM($D$3:D18)</f>
        <v>59</v>
      </c>
      <c r="H18">
        <f t="shared" si="3"/>
        <v>1.3559322033898304</v>
      </c>
      <c r="I18">
        <f t="shared" si="4"/>
        <v>220</v>
      </c>
      <c r="J18" s="3">
        <f>IFERROR(WORKDAY($A18, ROUNDUP(MAX(0, _xlfn.DAYS($A18, $B18)) / $H18, 0),Sheet2!$A$2:$A$21),"")</f>
        <v>46213</v>
      </c>
      <c r="K18" s="4">
        <f>IFERROR(WORKDAY($A18, ROUNDUP(MAX(0, _xlfn.DAYS($A18, $B18)) / $H18, 0),Sheet2!$A$2:$A$21)-A18,"")</f>
        <v>238</v>
      </c>
      <c r="L18">
        <f t="shared" si="0"/>
        <v>220</v>
      </c>
      <c r="M18" s="3">
        <f>IFERROR(WORKDAY($A18, ROUNDUP(MAX(0, _xlfn.DAYS($A18, $B18)) / $H$28, 0),Sheet2!$A$2:$A$21),"")</f>
        <v>46212</v>
      </c>
      <c r="N18" s="14"/>
      <c r="P18" s="21"/>
      <c r="Q18" s="22"/>
      <c r="R18" s="22"/>
      <c r="S18" s="22"/>
      <c r="T18" s="23"/>
    </row>
    <row r="19" spans="1:20" x14ac:dyDescent="0.25">
      <c r="A19" s="1">
        <v>45985</v>
      </c>
      <c r="B19" s="1">
        <v>45764</v>
      </c>
      <c r="C19">
        <f t="shared" si="1"/>
        <v>9</v>
      </c>
      <c r="D19">
        <f>IF(A19="","",NETWORKDAYS(A18,A19,Sheet2!$A$2:$A$21)-1)</f>
        <v>6</v>
      </c>
      <c r="E19">
        <f t="shared" si="2"/>
        <v>1.5</v>
      </c>
      <c r="F19">
        <f>SUM($C$3:C19)</f>
        <v>89</v>
      </c>
      <c r="G19">
        <f>SUM($D$3:D19)</f>
        <v>65</v>
      </c>
      <c r="H19">
        <f t="shared" si="3"/>
        <v>1.3692307692307693</v>
      </c>
      <c r="I19">
        <f t="shared" si="4"/>
        <v>147.33333333333334</v>
      </c>
      <c r="J19" s="3">
        <f>IFERROR(WORKDAY($A19, ROUNDUP(MAX(0, _xlfn.DAYS($A19, $B19)) / $H19, 0),Sheet2!$A$2:$A$21),"")</f>
        <v>46220</v>
      </c>
      <c r="K19" s="4">
        <f>IFERROR(WORKDAY($A19, ROUNDUP(MAX(0, _xlfn.DAYS($A19, $B19)) / $H19, 0),Sheet2!$A$2:$A$21)-A19,"")</f>
        <v>235</v>
      </c>
      <c r="L19">
        <f t="shared" si="0"/>
        <v>221</v>
      </c>
      <c r="M19" s="3">
        <f>IFERROR(WORKDAY($A19, ROUNDUP(MAX(0, _xlfn.DAYS($A19, $B19)) / $H$28, 0),Sheet2!$A$2:$A$21),"")</f>
        <v>46223</v>
      </c>
      <c r="N19" s="14"/>
    </row>
    <row r="20" spans="1:20" x14ac:dyDescent="0.25">
      <c r="C20" t="str">
        <f t="shared" si="1"/>
        <v/>
      </c>
      <c r="D20" t="str">
        <f>IF(A20="","",NETWORKDAYS(A19,A20,Sheet2!$A$2:$A$21)-1)</f>
        <v/>
      </c>
      <c r="E20" t="e">
        <f t="shared" si="2"/>
        <v>#VALUE!</v>
      </c>
      <c r="F20">
        <f>SUM($C$3:C20)</f>
        <v>89</v>
      </c>
      <c r="G20">
        <f>SUM($D$3:D20)</f>
        <v>65</v>
      </c>
      <c r="H20">
        <f t="shared" si="3"/>
        <v>1.3692307692307693</v>
      </c>
      <c r="I20" t="e">
        <f t="shared" si="4"/>
        <v>#VALUE!</v>
      </c>
      <c r="J20" s="3">
        <f>IFERROR(WORKDAY($A20, ROUNDUP(MAX(0, _xlfn.DAYS($A20, $B20)) / $H20, 0),Sheet2!$A$2:$A$21),"")</f>
        <v>0</v>
      </c>
      <c r="K20" s="4">
        <f>IFERROR(WORKDAY($A20, ROUNDUP(MAX(0, _xlfn.DAYS($A20, $B20)) / $H20, 0),Sheet2!$A$2:$A$21)-A20,"")</f>
        <v>0</v>
      </c>
      <c r="M20" s="3">
        <f>IFERROR(WORKDAY($A20, ROUNDUP(MAX(0, _xlfn.DAYS($A20, $B20)) / $H$28, 0),Sheet2!$A$2:$A$21),"")</f>
        <v>0</v>
      </c>
      <c r="N20" s="14"/>
    </row>
    <row r="21" spans="1:20" x14ac:dyDescent="0.25">
      <c r="C21" t="str">
        <f t="shared" si="1"/>
        <v/>
      </c>
      <c r="D21" t="str">
        <f>IF(A21="","",NETWORKDAYS(A20,A21,Sheet2!$A$2:$A$21)-1)</f>
        <v/>
      </c>
      <c r="E21" t="e">
        <f t="shared" si="2"/>
        <v>#VALUE!</v>
      </c>
      <c r="F21">
        <f>SUM($C$3:C21)</f>
        <v>89</v>
      </c>
      <c r="G21">
        <f>SUM($D$3:D21)</f>
        <v>65</v>
      </c>
      <c r="H21">
        <f t="shared" si="3"/>
        <v>1.3692307692307693</v>
      </c>
      <c r="I21" t="e">
        <f t="shared" si="4"/>
        <v>#VALUE!</v>
      </c>
      <c r="J21" s="3">
        <f>IFERROR(WORKDAY($A21, ROUNDUP(MAX(0, _xlfn.DAYS($A21, $B21)) / $H21, 0),Sheet2!$A$2:$A$21),"")</f>
        <v>0</v>
      </c>
      <c r="K21" s="4">
        <f>IFERROR(WORKDAY($A21, ROUNDUP(MAX(0, _xlfn.DAYS($A21, $B21)) / $H21, 0),Sheet2!$A$2:$A$21)-A21,"")</f>
        <v>0</v>
      </c>
      <c r="M21" s="3">
        <f>IFERROR(WORKDAY($A21, ROUNDUP(MAX(0, _xlfn.DAYS($A21, $B21)) / $H$28, 0),Sheet2!$A$2:$A$21),"")</f>
        <v>0</v>
      </c>
      <c r="N21" s="14"/>
    </row>
    <row r="22" spans="1:20" x14ac:dyDescent="0.25">
      <c r="C22" t="str">
        <f t="shared" si="1"/>
        <v/>
      </c>
      <c r="D22" t="str">
        <f>IF(A22="","",NETWORKDAYS(A21,A22,Sheet2!$A$2:$A$21)-1)</f>
        <v/>
      </c>
      <c r="E22" t="e">
        <f t="shared" si="2"/>
        <v>#VALUE!</v>
      </c>
      <c r="F22">
        <f>SUM($C$3:C22)</f>
        <v>89</v>
      </c>
      <c r="G22">
        <f>SUM($D$3:D22)</f>
        <v>65</v>
      </c>
      <c r="H22">
        <f t="shared" si="3"/>
        <v>1.3692307692307693</v>
      </c>
      <c r="I22" t="e">
        <f t="shared" si="4"/>
        <v>#VALUE!</v>
      </c>
      <c r="J22" s="3">
        <f>IFERROR(WORKDAY($A22, ROUNDUP(MAX(0, _xlfn.DAYS($A22, $B22)) / $H22, 0),Sheet2!$A$2:$A$21),"")</f>
        <v>0</v>
      </c>
      <c r="K22" s="4">
        <f>IFERROR(WORKDAY($A22, ROUNDUP(MAX(0, _xlfn.DAYS($A22, $B22)) / $H22, 0),Sheet2!$A$2:$A$21)-A22,"")</f>
        <v>0</v>
      </c>
      <c r="M22" s="3">
        <f>IFERROR(WORKDAY($A22, ROUNDUP(MAX(0, _xlfn.DAYS($A22, $B22)) / $H$28, 0),Sheet2!$A$2:$A$21),"")</f>
        <v>0</v>
      </c>
      <c r="N22" s="14"/>
    </row>
    <row r="23" spans="1:20" x14ac:dyDescent="0.25">
      <c r="C23" t="str">
        <f t="shared" si="1"/>
        <v/>
      </c>
      <c r="D23" t="str">
        <f>IF(A23="","",NETWORKDAYS(A22,A23,Sheet2!$A$2:$A$21)-1)</f>
        <v/>
      </c>
      <c r="E23" t="e">
        <f t="shared" si="2"/>
        <v>#VALUE!</v>
      </c>
      <c r="F23">
        <f>SUM($C$3:C23)</f>
        <v>89</v>
      </c>
      <c r="G23">
        <f>SUM($D$3:D23)</f>
        <v>65</v>
      </c>
      <c r="H23">
        <f t="shared" si="3"/>
        <v>1.3692307692307693</v>
      </c>
      <c r="I23" t="e">
        <f t="shared" si="4"/>
        <v>#VALUE!</v>
      </c>
      <c r="J23" s="3">
        <f>IFERROR(WORKDAY($A23, ROUNDUP(MAX(0, _xlfn.DAYS($A23, $B23)) / $H23, 0),Sheet2!$A$2:$A$21),"")</f>
        <v>0</v>
      </c>
      <c r="K23" s="4">
        <f>IFERROR(WORKDAY($A23, ROUNDUP(MAX(0, _xlfn.DAYS($A23, $B23)) / $H23, 0),Sheet2!$A$2:$A$21)-A23,"")</f>
        <v>0</v>
      </c>
      <c r="M23" s="3">
        <f>IFERROR(WORKDAY($A23, ROUNDUP(MAX(0, _xlfn.DAYS($A23, $B23)) / $H$28, 0),Sheet2!$A$2:$A$21),"")</f>
        <v>0</v>
      </c>
      <c r="N23" s="14"/>
      <c r="P23" s="11"/>
    </row>
    <row r="24" spans="1:20" x14ac:dyDescent="0.25">
      <c r="C24" t="str">
        <f t="shared" si="1"/>
        <v/>
      </c>
      <c r="D24" t="str">
        <f>IF(A24="","",NETWORKDAYS(A23,A24,Sheet2!$A$2:$A$21)-1)</f>
        <v/>
      </c>
      <c r="E24" t="e">
        <f t="shared" si="2"/>
        <v>#VALUE!</v>
      </c>
      <c r="F24">
        <f>SUM($C$3:C24)</f>
        <v>89</v>
      </c>
      <c r="G24">
        <f>SUM($D$3:D24)</f>
        <v>65</v>
      </c>
      <c r="H24">
        <f t="shared" si="3"/>
        <v>1.3692307692307693</v>
      </c>
      <c r="I24" t="e">
        <f t="shared" si="4"/>
        <v>#VALUE!</v>
      </c>
      <c r="J24" s="3">
        <f>IFERROR(WORKDAY($A24, ROUNDUP(MAX(0, _xlfn.DAYS($A24, $B24)) / $H24, 0),Sheet2!$A$2:$A$21),"")</f>
        <v>0</v>
      </c>
      <c r="K24" s="4">
        <f>IFERROR(WORKDAY($A24, ROUNDUP(MAX(0, _xlfn.DAYS($A24, $B24)) / $H24, 0),Sheet2!$A$2:$A$21)-A24,"")</f>
        <v>0</v>
      </c>
      <c r="M24" s="3">
        <f>IFERROR(WORKDAY($A24, ROUNDUP(MAX(0, _xlfn.DAYS($A24, $B24)) / $H$28, 0),Sheet2!$A$2:$A$21),"")</f>
        <v>0</v>
      </c>
      <c r="N24" s="14"/>
    </row>
    <row r="25" spans="1:20" x14ac:dyDescent="0.25">
      <c r="C25" t="str">
        <f t="shared" si="1"/>
        <v/>
      </c>
      <c r="D25" t="str">
        <f>IF(A25="","",NETWORKDAYS(A24,A25,Sheet2!$A$2:$A$21)-1)</f>
        <v/>
      </c>
      <c r="E25" t="e">
        <f t="shared" si="2"/>
        <v>#VALUE!</v>
      </c>
      <c r="F25">
        <f>SUM($C$3:C25)</f>
        <v>89</v>
      </c>
      <c r="G25">
        <f>SUM($D$3:D25)</f>
        <v>65</v>
      </c>
      <c r="H25">
        <f t="shared" si="3"/>
        <v>1.3692307692307693</v>
      </c>
      <c r="I25" t="e">
        <f t="shared" si="4"/>
        <v>#VALUE!</v>
      </c>
      <c r="J25" s="3">
        <f>IFERROR(WORKDAY($A25, ROUNDUP(MAX(0, _xlfn.DAYS($A25, $B25)) / $H25, 0),Sheet2!$A$2:$A$21),"")</f>
        <v>0</v>
      </c>
      <c r="K25" s="4">
        <f>IFERROR(WORKDAY($A25, ROUNDUP(MAX(0, _xlfn.DAYS($A25, $B25)) / $H25, 0),Sheet2!$A$2:$A$21)-A25,"")</f>
        <v>0</v>
      </c>
      <c r="M25" s="3">
        <f>IFERROR(WORKDAY($A25, ROUNDUP(MAX(0, _xlfn.DAYS($A25, $B25)) / $H$28, 0),Sheet2!$A$2:$A$21),"")</f>
        <v>0</v>
      </c>
      <c r="N25" s="14"/>
    </row>
    <row r="26" spans="1:20" x14ac:dyDescent="0.25">
      <c r="C26" t="str">
        <f t="shared" si="1"/>
        <v/>
      </c>
      <c r="D26" t="str">
        <f>IF(A26="","",NETWORKDAYS(A25,A26,Sheet2!$A$2:$A$21)-1)</f>
        <v/>
      </c>
      <c r="E26" t="e">
        <f t="shared" si="2"/>
        <v>#VALUE!</v>
      </c>
      <c r="F26">
        <f>SUM($C$3:C26)</f>
        <v>89</v>
      </c>
      <c r="G26">
        <f>SUM($D$3:D26)</f>
        <v>65</v>
      </c>
      <c r="H26">
        <f t="shared" si="3"/>
        <v>1.3692307692307693</v>
      </c>
      <c r="I26" t="e">
        <f t="shared" si="4"/>
        <v>#VALUE!</v>
      </c>
      <c r="J26" s="3">
        <f>IFERROR(WORKDAY($A26, ROUNDUP(MAX(0, _xlfn.DAYS($A26, $B26)) / $H26, 0),Sheet2!$A$2:$A$21),"")</f>
        <v>0</v>
      </c>
      <c r="K26" s="4">
        <f>IFERROR(WORKDAY($A26, ROUNDUP(MAX(0, _xlfn.DAYS($A26, $B26)) / $H26, 0),Sheet2!$A$2:$A$21)-A26,"")</f>
        <v>0</v>
      </c>
      <c r="M26" s="3">
        <f>IFERROR(WORKDAY($A26, ROUNDUP(MAX(0, _xlfn.DAYS($A26, $B26)) / $H$28, 0),Sheet2!$A$2:$A$21),"")</f>
        <v>0</v>
      </c>
      <c r="N26" s="14"/>
    </row>
    <row r="27" spans="1:20" x14ac:dyDescent="0.25">
      <c r="N27" s="14"/>
      <c r="Q27" s="9"/>
    </row>
    <row r="28" spans="1:20" x14ac:dyDescent="0.25">
      <c r="A28" s="12" t="s">
        <v>33</v>
      </c>
      <c r="B28" s="12"/>
      <c r="C28" s="12">
        <f>AVERAGE(C3:C19)</f>
        <v>5.2352941176470589</v>
      </c>
      <c r="D28" s="12">
        <f t="shared" ref="D28:L28" si="5">AVERAGE(D3:D19)</f>
        <v>3.8235294117647061</v>
      </c>
      <c r="E28" s="12">
        <f t="shared" si="5"/>
        <v>1.6233660130718954</v>
      </c>
      <c r="F28" s="12">
        <f t="shared" si="5"/>
        <v>49.367647058823529</v>
      </c>
      <c r="G28" s="12">
        <f t="shared" si="5"/>
        <v>36.294117647058826</v>
      </c>
      <c r="H28" s="12">
        <f t="shared" si="5"/>
        <v>1.3595265505282992</v>
      </c>
      <c r="I28" s="12">
        <f t="shared" si="5"/>
        <v>292.03513071895424</v>
      </c>
      <c r="J28" s="12">
        <f t="shared" si="5"/>
        <v>46177.529411764706</v>
      </c>
      <c r="K28" s="12">
        <f t="shared" si="5"/>
        <v>235.35294117647058</v>
      </c>
      <c r="L28" s="12">
        <f t="shared" si="5"/>
        <v>217.47058823529412</v>
      </c>
      <c r="M28" s="12"/>
      <c r="N28" s="15"/>
      <c r="P28" s="11"/>
      <c r="Q28" s="9"/>
      <c r="S28" s="9"/>
    </row>
    <row r="29" spans="1:20" x14ac:dyDescent="0.25">
      <c r="A29" s="7"/>
      <c r="B29" s="7"/>
      <c r="C29" s="7"/>
      <c r="D29" s="7"/>
      <c r="E29" s="7"/>
      <c r="F29" s="7"/>
      <c r="G29" s="7"/>
      <c r="H29" s="7">
        <f>F28/G28</f>
        <v>1.3602106969205834</v>
      </c>
      <c r="I29" s="7"/>
      <c r="J29" s="8"/>
      <c r="K29" s="9"/>
      <c r="L29" s="7"/>
      <c r="M29" s="7"/>
      <c r="Q29" s="11"/>
      <c r="R29" s="11"/>
      <c r="S29" s="9"/>
    </row>
    <row r="30" spans="1:20" x14ac:dyDescent="0.25">
      <c r="A30" s="7"/>
      <c r="B30" s="7"/>
      <c r="C30" s="7"/>
      <c r="D30" s="7"/>
      <c r="E30" s="7"/>
      <c r="F30" s="7"/>
      <c r="G30" s="7"/>
      <c r="H30" s="7"/>
      <c r="I30" s="7"/>
      <c r="J30" s="8"/>
      <c r="K30" s="9"/>
      <c r="L30" s="7"/>
      <c r="M30" s="7"/>
      <c r="Q30" s="9"/>
    </row>
    <row r="31" spans="1:20" x14ac:dyDescent="0.25">
      <c r="A31" s="11"/>
      <c r="B31" s="7"/>
      <c r="C31" s="7"/>
      <c r="D31" s="7"/>
      <c r="E31" s="7"/>
      <c r="F31" s="7"/>
      <c r="G31" s="7"/>
      <c r="H31" s="7"/>
      <c r="I31" s="7"/>
      <c r="J31" s="8"/>
      <c r="K31" s="9"/>
      <c r="L31" s="7"/>
      <c r="M31" s="7"/>
      <c r="Q31" s="9"/>
    </row>
    <row r="32" spans="1:20" x14ac:dyDescent="0.25">
      <c r="A32" s="7"/>
      <c r="B32" s="7"/>
      <c r="C32" s="7"/>
      <c r="D32" s="7"/>
      <c r="E32" s="7"/>
      <c r="F32" s="7"/>
      <c r="G32" s="11"/>
      <c r="H32" s="7"/>
      <c r="I32" s="7"/>
      <c r="J32" s="8"/>
      <c r="K32" s="9"/>
      <c r="L32" s="7"/>
      <c r="M32" s="7"/>
      <c r="Q32" s="9"/>
    </row>
    <row r="33" spans="1:17" x14ac:dyDescent="0.25">
      <c r="A33" s="7"/>
      <c r="B33" s="7"/>
      <c r="C33" s="7"/>
      <c r="D33" s="7"/>
      <c r="E33" s="9"/>
      <c r="F33" s="7"/>
      <c r="G33" s="11"/>
      <c r="H33" s="7"/>
      <c r="I33" s="7"/>
      <c r="J33" s="8"/>
      <c r="K33" s="11"/>
      <c r="L33" s="7"/>
      <c r="M33" s="11"/>
      <c r="Q33" s="9"/>
    </row>
    <row r="34" spans="1:17" x14ac:dyDescent="0.25">
      <c r="A34" s="7"/>
      <c r="B34" s="7"/>
      <c r="C34" s="7"/>
      <c r="D34" s="7"/>
      <c r="E34" s="7"/>
      <c r="F34" s="7"/>
      <c r="G34" s="11"/>
      <c r="H34" s="7"/>
      <c r="I34" s="11"/>
      <c r="J34" s="8"/>
      <c r="K34" s="9"/>
      <c r="L34" s="7"/>
      <c r="M34" s="7"/>
      <c r="Q34" s="9"/>
    </row>
    <row r="35" spans="1:17" x14ac:dyDescent="0.25">
      <c r="A35" s="7"/>
      <c r="B35" s="7"/>
      <c r="C35" s="7"/>
      <c r="D35" s="7"/>
      <c r="E35" s="7"/>
      <c r="F35" s="7"/>
      <c r="G35" s="7"/>
      <c r="H35" s="7"/>
      <c r="I35" s="7"/>
      <c r="J35" s="8"/>
      <c r="K35" s="9"/>
      <c r="L35" s="7"/>
      <c r="M35" s="8"/>
      <c r="Q35" s="9"/>
    </row>
    <row r="36" spans="1:17" ht="291.75" customHeight="1" x14ac:dyDescent="0.25">
      <c r="A36" s="7"/>
      <c r="B36" s="7"/>
      <c r="C36" s="7"/>
      <c r="D36" s="7"/>
      <c r="E36" s="7"/>
      <c r="F36" s="7"/>
      <c r="G36" s="7"/>
      <c r="H36" s="7"/>
      <c r="I36" s="7"/>
      <c r="J36" s="8"/>
      <c r="K36" s="9"/>
      <c r="L36" s="7"/>
      <c r="M36" s="7"/>
    </row>
    <row r="37" spans="1:17" x14ac:dyDescent="0.25">
      <c r="J37" s="3" t="str">
        <f>IFERROR(WORKDAY($A15, ROUNDUP(MAX(0, _xlfn.DAYS($A15, $B15)) / $H31, 0),Sheet2!$A$2:$A$21),"")</f>
        <v/>
      </c>
    </row>
    <row r="38" spans="1:17" x14ac:dyDescent="0.25">
      <c r="J38" s="3" t="str">
        <f>IFERROR(WORKDAY($A16, ROUNDUP(MAX(0, _xlfn.DAYS($A16, $B16)) / $H32, 0),Sheet2!$A$2:$A$21),"")</f>
        <v/>
      </c>
    </row>
    <row r="39" spans="1:17" x14ac:dyDescent="0.25">
      <c r="J39" s="3" t="str">
        <f>IFERROR(WORKDAY($A17, ROUNDUP(MAX(0, _xlfn.DAYS($A17, $B17)) / $H33, 0),Sheet2!$A$2:$A$21),"")</f>
        <v/>
      </c>
    </row>
    <row r="40" spans="1:17" x14ac:dyDescent="0.25">
      <c r="J40" s="3" t="str">
        <f>IFERROR(WORKDAY($A18, ROUNDUP(MAX(0, _xlfn.DAYS($A18, $B18)) / $H34, 0),Sheet2!$A$2:$A$21),"")</f>
        <v/>
      </c>
    </row>
    <row r="41" spans="1:17" x14ac:dyDescent="0.25">
      <c r="J41" s="3" t="str">
        <f>IFERROR(WORKDAY($A19, ROUNDUP(MAX(0, _xlfn.DAYS($A19, $B19)) / $H35, 0),Sheet2!$A$2:$A$21),"")</f>
        <v/>
      </c>
    </row>
    <row r="42" spans="1:17" x14ac:dyDescent="0.25">
      <c r="J42" s="3" t="str">
        <f>IFERROR(WORKDAY($A20, ROUNDUP(MAX(0, _xlfn.DAYS($A20, $B20)) / $H36, 0),Sheet2!$A$2:$A$21),"")</f>
        <v/>
      </c>
    </row>
  </sheetData>
  <mergeCells count="1">
    <mergeCell ref="R15:R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737A-9539-466C-B40B-34578E3E539D}">
  <dimension ref="A1:B21"/>
  <sheetViews>
    <sheetView workbookViewId="0">
      <selection sqref="A1:B22"/>
    </sheetView>
  </sheetViews>
  <sheetFormatPr defaultRowHeight="15" x14ac:dyDescent="0.25"/>
  <cols>
    <col min="1" max="1" width="10.42578125" bestFit="1" customWidth="1"/>
    <col min="2" max="2" width="14" bestFit="1" customWidth="1"/>
  </cols>
  <sheetData>
    <row r="1" spans="1:2" x14ac:dyDescent="0.25">
      <c r="A1" t="s">
        <v>6</v>
      </c>
    </row>
    <row r="2" spans="1:2" x14ac:dyDescent="0.25">
      <c r="A2" s="1">
        <v>45658</v>
      </c>
      <c r="B2" t="s">
        <v>7</v>
      </c>
    </row>
    <row r="3" spans="1:2" x14ac:dyDescent="0.25">
      <c r="A3" s="1">
        <v>45677</v>
      </c>
    </row>
    <row r="4" spans="1:2" x14ac:dyDescent="0.25">
      <c r="A4" s="1">
        <v>45705</v>
      </c>
    </row>
    <row r="5" spans="1:2" x14ac:dyDescent="0.25">
      <c r="A5" s="1">
        <v>45803</v>
      </c>
    </row>
    <row r="6" spans="1:2" x14ac:dyDescent="0.25">
      <c r="A6" s="1">
        <v>45842</v>
      </c>
    </row>
    <row r="7" spans="1:2" x14ac:dyDescent="0.25">
      <c r="A7" s="1">
        <v>45901</v>
      </c>
    </row>
    <row r="8" spans="1:2" x14ac:dyDescent="0.25">
      <c r="A8" s="1">
        <v>45943</v>
      </c>
    </row>
    <row r="9" spans="1:2" x14ac:dyDescent="0.25">
      <c r="A9" s="1">
        <v>45972</v>
      </c>
    </row>
    <row r="10" spans="1:2" x14ac:dyDescent="0.25">
      <c r="A10" s="1">
        <v>45988</v>
      </c>
    </row>
    <row r="11" spans="1:2" x14ac:dyDescent="0.25">
      <c r="A11" s="1">
        <v>46016</v>
      </c>
    </row>
    <row r="12" spans="1:2" x14ac:dyDescent="0.25">
      <c r="A12" s="1">
        <v>46023</v>
      </c>
    </row>
    <row r="13" spans="1:2" x14ac:dyDescent="0.25">
      <c r="A13" s="1">
        <v>46041</v>
      </c>
    </row>
    <row r="14" spans="1:2" x14ac:dyDescent="0.25">
      <c r="A14" s="1">
        <v>46069</v>
      </c>
    </row>
    <row r="15" spans="1:2" x14ac:dyDescent="0.25">
      <c r="A15" s="1">
        <v>46167</v>
      </c>
    </row>
    <row r="16" spans="1:2" x14ac:dyDescent="0.25">
      <c r="A16" s="1">
        <v>46206</v>
      </c>
    </row>
    <row r="17" spans="1:1" x14ac:dyDescent="0.25">
      <c r="A17" s="1">
        <v>46272</v>
      </c>
    </row>
    <row r="18" spans="1:1" x14ac:dyDescent="0.25">
      <c r="A18" s="1">
        <v>46307</v>
      </c>
    </row>
    <row r="19" spans="1:1" x14ac:dyDescent="0.25">
      <c r="A19" s="1">
        <v>46337</v>
      </c>
    </row>
    <row r="20" spans="1:1" x14ac:dyDescent="0.25">
      <c r="A20" s="1">
        <v>46352</v>
      </c>
    </row>
    <row r="21" spans="1:1" x14ac:dyDescent="0.25">
      <c r="A21" s="1">
        <v>46381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71F7-CBF9-4BE9-8D49-39D9D92617A5}">
  <dimension ref="A1:AQ857"/>
  <sheetViews>
    <sheetView topLeftCell="X124" zoomScaleNormal="100" workbookViewId="0">
      <selection activeCell="AB139" sqref="AB139"/>
    </sheetView>
  </sheetViews>
  <sheetFormatPr defaultRowHeight="15" x14ac:dyDescent="0.25"/>
  <cols>
    <col min="3" max="3" width="9.42578125" bestFit="1" customWidth="1"/>
    <col min="4" max="4" width="10.42578125" bestFit="1" customWidth="1"/>
    <col min="5" max="5" width="10.5703125" bestFit="1" customWidth="1"/>
    <col min="6" max="6" width="19.7109375" bestFit="1" customWidth="1"/>
    <col min="7" max="7" width="5.140625" bestFit="1" customWidth="1"/>
    <col min="8" max="8" width="4.5703125" bestFit="1" customWidth="1"/>
    <col min="9" max="9" width="5" bestFit="1" customWidth="1"/>
    <col min="10" max="10" width="4.28515625" bestFit="1" customWidth="1"/>
    <col min="11" max="11" width="7" bestFit="1" customWidth="1"/>
    <col min="12" max="12" width="10.28515625" bestFit="1" customWidth="1"/>
    <col min="13" max="13" width="16.28515625" bestFit="1" customWidth="1"/>
    <col min="14" max="14" width="12.7109375" bestFit="1" customWidth="1"/>
    <col min="15" max="15" width="9.85546875" bestFit="1" customWidth="1"/>
    <col min="16" max="16" width="7.85546875" bestFit="1" customWidth="1"/>
    <col min="17" max="17" width="8.7109375" bestFit="1" customWidth="1"/>
    <col min="18" max="18" width="9.42578125" bestFit="1" customWidth="1"/>
    <col min="19" max="19" width="5.140625" bestFit="1" customWidth="1"/>
    <col min="20" max="20" width="4.5703125" bestFit="1" customWidth="1"/>
    <col min="21" max="21" width="5" bestFit="1" customWidth="1"/>
    <col min="22" max="22" width="15.7109375" customWidth="1"/>
    <col min="23" max="24" width="14.5703125" bestFit="1" customWidth="1"/>
    <col min="25" max="25" width="13.28515625" customWidth="1"/>
    <col min="26" max="26" width="14.140625" customWidth="1"/>
    <col min="27" max="28" width="12.140625" customWidth="1"/>
    <col min="29" max="29" width="13.42578125" bestFit="1" customWidth="1"/>
    <col min="30" max="33" width="12.140625" customWidth="1"/>
    <col min="43" max="43" width="10" bestFit="1" customWidth="1"/>
  </cols>
  <sheetData>
    <row r="1" spans="1:18" ht="30" x14ac:dyDescent="0.25">
      <c r="A1" s="2" t="s">
        <v>0</v>
      </c>
      <c r="B1" s="2" t="s">
        <v>1</v>
      </c>
      <c r="C1" t="s">
        <v>10</v>
      </c>
      <c r="H1" cm="1">
        <f t="array" ref="H1:I5">LINEST(B2:B6, A2:A6, TRUE, TRUE)</f>
        <v>0.96010044642857129</v>
      </c>
      <c r="I1">
        <v>1617.2204241071449</v>
      </c>
      <c r="M1" cm="1">
        <f t="array" ref="M1:N5">LINEST(F2:F6, A2:A6, TRUE, TRUE)</f>
        <v>3.9899553571428568E-2</v>
      </c>
      <c r="N1">
        <v>-1617.2204241071429</v>
      </c>
    </row>
    <row r="2" spans="1:18" x14ac:dyDescent="0.25">
      <c r="A2" s="1">
        <v>45889</v>
      </c>
      <c r="B2" s="1">
        <v>45677</v>
      </c>
      <c r="C2" s="1"/>
      <c r="F2">
        <f>_xlfn.DAYS(A2,B2)</f>
        <v>212</v>
      </c>
      <c r="H2">
        <v>0.11822973588045502</v>
      </c>
      <c r="I2">
        <v>5428.0219426511076</v>
      </c>
      <c r="M2">
        <v>0.11822973588045495</v>
      </c>
      <c r="N2">
        <v>5428.0219426511048</v>
      </c>
    </row>
    <row r="3" spans="1:18" x14ac:dyDescent="0.25">
      <c r="A3" s="1">
        <v>45908</v>
      </c>
      <c r="B3" s="1">
        <v>45690</v>
      </c>
      <c r="C3" s="1">
        <v>46202</v>
      </c>
      <c r="D3">
        <v>294</v>
      </c>
      <c r="F3">
        <f t="shared" ref="F3:F6" si="0">_xlfn.DAYS(A3,B3)</f>
        <v>218</v>
      </c>
      <c r="H3">
        <v>0.95648686628856805</v>
      </c>
      <c r="I3">
        <v>3.1653790066834637</v>
      </c>
      <c r="M3">
        <v>3.6574590773809521E-2</v>
      </c>
      <c r="N3">
        <v>3.1653790066834619</v>
      </c>
    </row>
    <row r="4" spans="1:18" x14ac:dyDescent="0.25">
      <c r="A4" s="1">
        <v>45915</v>
      </c>
      <c r="B4" s="1">
        <v>45698</v>
      </c>
      <c r="C4" s="1">
        <v>46171</v>
      </c>
      <c r="D4">
        <v>256</v>
      </c>
      <c r="F4">
        <f t="shared" si="0"/>
        <v>217</v>
      </c>
      <c r="H4">
        <v>65.944701153799656</v>
      </c>
      <c r="I4">
        <v>3</v>
      </c>
      <c r="M4">
        <v>0.1138892240859177</v>
      </c>
      <c r="N4">
        <v>3</v>
      </c>
    </row>
    <row r="5" spans="1:18" x14ac:dyDescent="0.25">
      <c r="A5" s="1">
        <v>45919</v>
      </c>
      <c r="B5" s="1">
        <v>45707</v>
      </c>
      <c r="C5" s="1">
        <v>46139</v>
      </c>
      <c r="D5">
        <v>220</v>
      </c>
      <c r="F5">
        <f>_xlfn.DAYS(A5,B5)</f>
        <v>212</v>
      </c>
      <c r="H5">
        <v>660.74112723214273</v>
      </c>
      <c r="I5">
        <v>30.058872767857174</v>
      </c>
      <c r="M5">
        <v>1.1411272321428569</v>
      </c>
      <c r="N5">
        <v>30.058872767857139</v>
      </c>
      <c r="R5" s="1">
        <f>A4-217</f>
        <v>45698</v>
      </c>
    </row>
    <row r="6" spans="1:18" x14ac:dyDescent="0.25">
      <c r="A6" s="1">
        <v>45923</v>
      </c>
      <c r="B6" s="1">
        <v>45709</v>
      </c>
      <c r="C6" s="1">
        <v>46148</v>
      </c>
      <c r="D6">
        <v>225</v>
      </c>
      <c r="F6">
        <f t="shared" si="0"/>
        <v>214</v>
      </c>
    </row>
    <row r="9" spans="1:18" x14ac:dyDescent="0.25">
      <c r="E9" t="s">
        <v>11</v>
      </c>
      <c r="F9" t="s">
        <v>12</v>
      </c>
      <c r="L9" t="s">
        <v>13</v>
      </c>
      <c r="M9" t="s">
        <v>14</v>
      </c>
      <c r="N9" t="s">
        <v>15</v>
      </c>
    </row>
    <row r="10" spans="1:18" x14ac:dyDescent="0.25">
      <c r="E10" s="1">
        <v>45658</v>
      </c>
      <c r="L10" s="1">
        <v>45677</v>
      </c>
      <c r="M10" s="1">
        <v>45889</v>
      </c>
      <c r="N10" t="s">
        <v>16</v>
      </c>
    </row>
    <row r="11" spans="1:18" x14ac:dyDescent="0.25">
      <c r="E11" s="1">
        <v>45659</v>
      </c>
      <c r="L11" s="1">
        <v>45690</v>
      </c>
      <c r="M11" s="1">
        <v>45908</v>
      </c>
      <c r="N11" t="s">
        <v>16</v>
      </c>
    </row>
    <row r="12" spans="1:18" x14ac:dyDescent="0.25">
      <c r="E12" s="1">
        <v>45660</v>
      </c>
      <c r="L12" s="1">
        <v>45698</v>
      </c>
      <c r="M12" s="1">
        <v>45915</v>
      </c>
      <c r="N12" t="s">
        <v>16</v>
      </c>
    </row>
    <row r="13" spans="1:18" x14ac:dyDescent="0.25">
      <c r="E13" s="1">
        <v>45661</v>
      </c>
      <c r="L13" s="1">
        <v>45707</v>
      </c>
      <c r="M13" s="1">
        <v>45919</v>
      </c>
      <c r="N13" t="s">
        <v>16</v>
      </c>
    </row>
    <row r="14" spans="1:18" x14ac:dyDescent="0.25">
      <c r="E14" s="1">
        <v>45662</v>
      </c>
      <c r="L14" s="1">
        <v>45709</v>
      </c>
      <c r="M14" s="1">
        <v>45923</v>
      </c>
      <c r="N14" t="s">
        <v>16</v>
      </c>
    </row>
    <row r="15" spans="1:18" x14ac:dyDescent="0.25">
      <c r="E15" s="1">
        <v>45663</v>
      </c>
      <c r="N15" t="s">
        <v>17</v>
      </c>
    </row>
    <row r="16" spans="1:18" x14ac:dyDescent="0.25">
      <c r="E16" s="1">
        <v>45664</v>
      </c>
      <c r="N16" t="s">
        <v>17</v>
      </c>
    </row>
    <row r="17" spans="5:32" x14ac:dyDescent="0.25">
      <c r="E17" s="1">
        <v>45665</v>
      </c>
      <c r="N17" t="s">
        <v>17</v>
      </c>
    </row>
    <row r="18" spans="5:32" x14ac:dyDescent="0.25">
      <c r="E18" s="1">
        <v>45666</v>
      </c>
      <c r="N18" t="s">
        <v>17</v>
      </c>
    </row>
    <row r="19" spans="5:32" x14ac:dyDescent="0.25">
      <c r="E19" s="1">
        <v>45667</v>
      </c>
      <c r="N19" t="s">
        <v>17</v>
      </c>
    </row>
    <row r="20" spans="5:32" x14ac:dyDescent="0.25">
      <c r="E20" s="1">
        <v>45668</v>
      </c>
      <c r="N20" t="s">
        <v>17</v>
      </c>
    </row>
    <row r="21" spans="5:32" x14ac:dyDescent="0.25">
      <c r="E21" s="1">
        <v>45669</v>
      </c>
      <c r="N21" t="s">
        <v>17</v>
      </c>
    </row>
    <row r="22" spans="5:32" x14ac:dyDescent="0.25">
      <c r="E22" s="1">
        <v>45670</v>
      </c>
      <c r="N22" t="s">
        <v>17</v>
      </c>
      <c r="V22" t="s">
        <v>23</v>
      </c>
      <c r="W22" t="s">
        <v>24</v>
      </c>
      <c r="X22" t="s">
        <v>25</v>
      </c>
      <c r="Y22" t="s">
        <v>26</v>
      </c>
      <c r="AC22" t="s">
        <v>31</v>
      </c>
      <c r="AD22" t="s">
        <v>27</v>
      </c>
      <c r="AE22" t="s">
        <v>28</v>
      </c>
      <c r="AF22" t="s">
        <v>29</v>
      </c>
    </row>
    <row r="23" spans="5:32" x14ac:dyDescent="0.25">
      <c r="E23" s="1">
        <v>45671</v>
      </c>
      <c r="N23" t="s">
        <v>17</v>
      </c>
      <c r="V23" s="1">
        <v>45889</v>
      </c>
      <c r="W23" s="1">
        <v>46118</v>
      </c>
      <c r="X23" s="1">
        <v>46118</v>
      </c>
      <c r="Y23" s="1">
        <v>46118</v>
      </c>
      <c r="Z23" s="1">
        <v>46118</v>
      </c>
      <c r="AB23" s="1">
        <v>45889</v>
      </c>
      <c r="AC23" s="1">
        <v>45889</v>
      </c>
      <c r="AD23" s="1">
        <v>46118</v>
      </c>
      <c r="AE23" s="1">
        <v>46118</v>
      </c>
      <c r="AF23" s="1">
        <v>46118</v>
      </c>
    </row>
    <row r="24" spans="5:32" x14ac:dyDescent="0.25">
      <c r="E24" s="1">
        <v>45672</v>
      </c>
      <c r="N24" t="s">
        <v>17</v>
      </c>
      <c r="V24" s="1">
        <v>45908</v>
      </c>
      <c r="W24" s="1">
        <v>46140</v>
      </c>
      <c r="X24" s="1">
        <v>46181</v>
      </c>
      <c r="Y24">
        <f>(X24-W24)/2</f>
        <v>20.5</v>
      </c>
      <c r="Z24" s="1">
        <f>X24-Y24</f>
        <v>46160.5</v>
      </c>
      <c r="AB24" s="1">
        <v>45908</v>
      </c>
      <c r="AC24" s="1">
        <v>45908</v>
      </c>
      <c r="AD24" s="1">
        <v>46181</v>
      </c>
      <c r="AE24" s="1">
        <v>46140</v>
      </c>
      <c r="AF24" s="1">
        <f>X24-Y24</f>
        <v>46160.5</v>
      </c>
    </row>
    <row r="25" spans="5:32" x14ac:dyDescent="0.25">
      <c r="E25" s="1">
        <v>45673</v>
      </c>
      <c r="N25" t="s">
        <v>17</v>
      </c>
      <c r="V25" s="1">
        <v>45915</v>
      </c>
      <c r="W25" s="1">
        <v>46146</v>
      </c>
      <c r="X25" s="1">
        <v>46160</v>
      </c>
      <c r="Y25">
        <f t="shared" ref="Y25:Y33" si="1">(X25-W25)/2</f>
        <v>7</v>
      </c>
      <c r="Z25" s="1">
        <f t="shared" ref="Z25:Z33" si="2">X25-Y25</f>
        <v>46153</v>
      </c>
      <c r="AB25" s="1">
        <v>45915</v>
      </c>
      <c r="AC25" s="1">
        <v>45915</v>
      </c>
      <c r="AD25" s="1">
        <v>46160</v>
      </c>
      <c r="AE25" s="1">
        <v>46146</v>
      </c>
      <c r="AF25" s="1">
        <f t="shared" ref="AF25:AF33" si="3">X25-Y25</f>
        <v>46153</v>
      </c>
    </row>
    <row r="26" spans="5:32" x14ac:dyDescent="0.25">
      <c r="E26" s="1">
        <v>45674</v>
      </c>
      <c r="N26" t="s">
        <v>17</v>
      </c>
      <c r="V26" s="1">
        <v>45919</v>
      </c>
      <c r="W26" s="1">
        <v>46147</v>
      </c>
      <c r="X26" s="1">
        <v>46132</v>
      </c>
      <c r="Y26">
        <f t="shared" si="1"/>
        <v>-7.5</v>
      </c>
      <c r="Z26" s="1">
        <f t="shared" si="2"/>
        <v>46139.5</v>
      </c>
      <c r="AB26" s="1">
        <v>45919</v>
      </c>
      <c r="AC26" s="1">
        <v>45919</v>
      </c>
      <c r="AD26" s="1">
        <v>46147</v>
      </c>
      <c r="AE26" s="1">
        <v>46132</v>
      </c>
      <c r="AF26" s="1">
        <f t="shared" si="3"/>
        <v>46139.5</v>
      </c>
    </row>
    <row r="27" spans="5:32" x14ac:dyDescent="0.25">
      <c r="E27" s="1">
        <v>45675</v>
      </c>
      <c r="N27" t="s">
        <v>17</v>
      </c>
      <c r="V27" s="1">
        <v>45923</v>
      </c>
      <c r="W27" s="1">
        <v>46150</v>
      </c>
      <c r="X27" s="1">
        <v>46142</v>
      </c>
      <c r="Y27">
        <f t="shared" si="1"/>
        <v>-4</v>
      </c>
      <c r="Z27" s="1">
        <f t="shared" si="2"/>
        <v>46146</v>
      </c>
      <c r="AB27" s="1">
        <v>45923</v>
      </c>
      <c r="AC27" s="1">
        <v>45923</v>
      </c>
      <c r="AD27" s="1">
        <v>46150</v>
      </c>
      <c r="AE27" s="1">
        <v>46142</v>
      </c>
      <c r="AF27" s="1">
        <f t="shared" si="3"/>
        <v>46146</v>
      </c>
    </row>
    <row r="28" spans="5:32" x14ac:dyDescent="0.25">
      <c r="E28" s="1">
        <v>45676</v>
      </c>
      <c r="N28" t="s">
        <v>17</v>
      </c>
      <c r="V28" s="1">
        <v>45924</v>
      </c>
      <c r="W28" s="1">
        <v>46150</v>
      </c>
      <c r="X28" s="1">
        <v>46133</v>
      </c>
      <c r="Y28">
        <f t="shared" si="1"/>
        <v>-8.5</v>
      </c>
      <c r="Z28" s="1">
        <f t="shared" si="2"/>
        <v>46141.5</v>
      </c>
      <c r="AB28" s="1">
        <v>45924</v>
      </c>
      <c r="AC28" s="1">
        <v>45924</v>
      </c>
      <c r="AD28" s="1">
        <v>46150</v>
      </c>
      <c r="AE28" s="1">
        <v>46133</v>
      </c>
      <c r="AF28" s="1">
        <f t="shared" si="3"/>
        <v>46141.5</v>
      </c>
    </row>
    <row r="29" spans="5:32" x14ac:dyDescent="0.25">
      <c r="E29" s="1">
        <v>45677</v>
      </c>
      <c r="F29">
        <v>212</v>
      </c>
      <c r="G29" t="s">
        <v>16</v>
      </c>
      <c r="N29" t="s">
        <v>17</v>
      </c>
      <c r="V29" s="1">
        <v>45926</v>
      </c>
      <c r="W29" s="1">
        <v>46155</v>
      </c>
      <c r="X29" s="1">
        <v>46150</v>
      </c>
      <c r="Y29">
        <f t="shared" si="1"/>
        <v>-2.5</v>
      </c>
      <c r="Z29" s="1">
        <f t="shared" si="2"/>
        <v>46152.5</v>
      </c>
      <c r="AB29" s="1">
        <v>45926</v>
      </c>
      <c r="AC29" s="1">
        <v>45926</v>
      </c>
      <c r="AD29" s="1">
        <v>46155</v>
      </c>
      <c r="AE29" s="1">
        <v>46150</v>
      </c>
      <c r="AF29" s="1">
        <f t="shared" si="3"/>
        <v>46152.5</v>
      </c>
    </row>
    <row r="30" spans="5:32" x14ac:dyDescent="0.25">
      <c r="E30" s="1">
        <v>45678</v>
      </c>
      <c r="N30" t="s">
        <v>17</v>
      </c>
      <c r="V30" s="1">
        <v>45929</v>
      </c>
      <c r="W30" s="1">
        <v>46160</v>
      </c>
      <c r="X30" s="1">
        <v>46162</v>
      </c>
      <c r="Y30">
        <f t="shared" si="1"/>
        <v>1</v>
      </c>
      <c r="Z30" s="1">
        <f t="shared" si="2"/>
        <v>46161</v>
      </c>
      <c r="AB30" s="1">
        <v>45929</v>
      </c>
      <c r="AC30" s="1">
        <v>45929</v>
      </c>
      <c r="AD30" s="1">
        <v>46162</v>
      </c>
      <c r="AE30" s="1">
        <v>46160</v>
      </c>
      <c r="AF30" s="1">
        <f t="shared" si="3"/>
        <v>46161</v>
      </c>
    </row>
    <row r="31" spans="5:32" x14ac:dyDescent="0.25">
      <c r="E31" s="1">
        <v>45679</v>
      </c>
      <c r="N31" t="s">
        <v>17</v>
      </c>
      <c r="V31" s="1">
        <v>45930</v>
      </c>
      <c r="W31" s="1">
        <v>46162</v>
      </c>
      <c r="X31" s="1">
        <v>46171</v>
      </c>
      <c r="Y31">
        <f t="shared" si="1"/>
        <v>4.5</v>
      </c>
      <c r="Z31" s="1">
        <f t="shared" si="2"/>
        <v>46166.5</v>
      </c>
      <c r="AB31" s="1">
        <v>45930</v>
      </c>
      <c r="AC31" s="1">
        <v>45930</v>
      </c>
      <c r="AD31" s="1">
        <v>46171</v>
      </c>
      <c r="AE31" s="1">
        <v>46162</v>
      </c>
      <c r="AF31" s="1">
        <f t="shared" si="3"/>
        <v>46166.5</v>
      </c>
    </row>
    <row r="32" spans="5:32" x14ac:dyDescent="0.25">
      <c r="E32" s="1">
        <v>45680</v>
      </c>
      <c r="N32" t="s">
        <v>17</v>
      </c>
      <c r="V32" s="1">
        <v>45931</v>
      </c>
      <c r="W32" s="1">
        <v>46161</v>
      </c>
      <c r="X32" s="1">
        <v>46155</v>
      </c>
      <c r="Y32">
        <f t="shared" si="1"/>
        <v>-3</v>
      </c>
      <c r="Z32" s="1">
        <f t="shared" si="2"/>
        <v>46158</v>
      </c>
      <c r="AB32" s="1">
        <v>45931</v>
      </c>
      <c r="AC32" s="1">
        <v>45931</v>
      </c>
      <c r="AD32" s="1">
        <v>46161</v>
      </c>
      <c r="AE32" s="1">
        <v>46155</v>
      </c>
      <c r="AF32" s="1">
        <f t="shared" si="3"/>
        <v>46158</v>
      </c>
    </row>
    <row r="33" spans="5:43" x14ac:dyDescent="0.25">
      <c r="E33" s="1">
        <v>45681</v>
      </c>
      <c r="N33" t="s">
        <v>17</v>
      </c>
      <c r="V33" s="1">
        <v>45937</v>
      </c>
      <c r="W33" s="1">
        <v>46171</v>
      </c>
      <c r="X33" s="1">
        <v>46184</v>
      </c>
      <c r="Y33">
        <f t="shared" si="1"/>
        <v>6.5</v>
      </c>
      <c r="Z33" s="1">
        <f t="shared" si="2"/>
        <v>46177.5</v>
      </c>
      <c r="AB33" s="1">
        <v>45937</v>
      </c>
      <c r="AC33" s="1">
        <v>45937</v>
      </c>
      <c r="AD33" s="1">
        <v>46184</v>
      </c>
      <c r="AE33" s="1">
        <v>46171</v>
      </c>
      <c r="AF33" s="1">
        <f t="shared" si="3"/>
        <v>46177.5</v>
      </c>
    </row>
    <row r="34" spans="5:43" x14ac:dyDescent="0.25">
      <c r="E34" s="1">
        <v>45682</v>
      </c>
      <c r="N34" t="s">
        <v>17</v>
      </c>
    </row>
    <row r="35" spans="5:43" x14ac:dyDescent="0.25">
      <c r="E35" s="1">
        <v>45683</v>
      </c>
    </row>
    <row r="36" spans="5:43" x14ac:dyDescent="0.25">
      <c r="E36" s="1">
        <v>45684</v>
      </c>
    </row>
    <row r="37" spans="5:43" x14ac:dyDescent="0.25">
      <c r="E37" s="1">
        <v>45685</v>
      </c>
    </row>
    <row r="38" spans="5:43" x14ac:dyDescent="0.25">
      <c r="E38" s="1">
        <v>45686</v>
      </c>
      <c r="V38" s="4">
        <v>46023</v>
      </c>
    </row>
    <row r="39" spans="5:43" x14ac:dyDescent="0.25">
      <c r="E39" s="1">
        <v>45687</v>
      </c>
      <c r="V39" s="4">
        <v>46054</v>
      </c>
    </row>
    <row r="40" spans="5:43" x14ac:dyDescent="0.25">
      <c r="E40" s="1">
        <v>45688</v>
      </c>
      <c r="V40" s="4">
        <v>46082</v>
      </c>
      <c r="AB40" s="1">
        <v>45889</v>
      </c>
      <c r="AC40" s="1">
        <v>45908</v>
      </c>
      <c r="AD40" s="1">
        <v>45915</v>
      </c>
      <c r="AE40" s="1">
        <v>45919</v>
      </c>
      <c r="AF40" s="1">
        <v>45923</v>
      </c>
      <c r="AG40" s="1">
        <v>45924</v>
      </c>
      <c r="AH40" s="1">
        <v>45926</v>
      </c>
      <c r="AI40" s="1">
        <v>45929</v>
      </c>
      <c r="AJ40" s="1">
        <v>45930</v>
      </c>
      <c r="AK40" s="1">
        <v>45931</v>
      </c>
      <c r="AL40" s="1">
        <v>45937</v>
      </c>
    </row>
    <row r="41" spans="5:43" x14ac:dyDescent="0.25">
      <c r="E41" s="1">
        <v>45689</v>
      </c>
      <c r="V41" s="4">
        <v>46113</v>
      </c>
    </row>
    <row r="42" spans="5:43" x14ac:dyDescent="0.25">
      <c r="E42" s="1">
        <v>45690</v>
      </c>
      <c r="F42">
        <v>218</v>
      </c>
      <c r="G42" t="s">
        <v>16</v>
      </c>
      <c r="V42" s="4">
        <v>46143</v>
      </c>
    </row>
    <row r="43" spans="5:43" x14ac:dyDescent="0.25">
      <c r="E43" s="1">
        <v>45691</v>
      </c>
      <c r="V43" s="4">
        <v>46174</v>
      </c>
      <c r="AQ43" s="6"/>
    </row>
    <row r="44" spans="5:43" x14ac:dyDescent="0.25">
      <c r="E44" s="1">
        <v>45692</v>
      </c>
      <c r="V44" s="4">
        <v>46204</v>
      </c>
    </row>
    <row r="45" spans="5:43" x14ac:dyDescent="0.25">
      <c r="E45" s="1">
        <v>45693</v>
      </c>
      <c r="V45" s="4">
        <v>46235</v>
      </c>
    </row>
    <row r="46" spans="5:43" x14ac:dyDescent="0.25">
      <c r="E46" s="1">
        <v>45694</v>
      </c>
      <c r="V46" s="4">
        <v>46266</v>
      </c>
    </row>
    <row r="47" spans="5:43" ht="16.5" x14ac:dyDescent="0.25">
      <c r="E47" s="1">
        <v>45695</v>
      </c>
      <c r="V47" s="4">
        <v>46296</v>
      </c>
      <c r="AQ47" t="s">
        <v>32</v>
      </c>
    </row>
    <row r="48" spans="5:43" x14ac:dyDescent="0.25">
      <c r="E48" s="1">
        <v>45696</v>
      </c>
      <c r="V48" s="4">
        <v>46327</v>
      </c>
    </row>
    <row r="49" spans="5:43" x14ac:dyDescent="0.25">
      <c r="E49" s="1">
        <v>45697</v>
      </c>
      <c r="V49" s="4">
        <v>46357</v>
      </c>
    </row>
    <row r="50" spans="5:43" x14ac:dyDescent="0.25">
      <c r="E50" s="1">
        <v>45698</v>
      </c>
      <c r="F50">
        <v>217</v>
      </c>
      <c r="G50" t="s">
        <v>16</v>
      </c>
      <c r="V50" s="5"/>
    </row>
    <row r="51" spans="5:43" x14ac:dyDescent="0.25">
      <c r="E51" s="1">
        <v>45699</v>
      </c>
      <c r="V51" s="5"/>
    </row>
    <row r="52" spans="5:43" x14ac:dyDescent="0.25">
      <c r="E52" s="1">
        <v>45700</v>
      </c>
    </row>
    <row r="53" spans="5:43" x14ac:dyDescent="0.25">
      <c r="E53" s="1">
        <v>45701</v>
      </c>
      <c r="AQ53" s="1">
        <v>322741</v>
      </c>
    </row>
    <row r="54" spans="5:43" x14ac:dyDescent="0.25">
      <c r="E54" s="1">
        <v>45702</v>
      </c>
    </row>
    <row r="55" spans="5:43" x14ac:dyDescent="0.25">
      <c r="E55" s="1">
        <v>45703</v>
      </c>
    </row>
    <row r="56" spans="5:43" x14ac:dyDescent="0.25">
      <c r="E56" s="1">
        <v>45704</v>
      </c>
    </row>
    <row r="57" spans="5:43" x14ac:dyDescent="0.25">
      <c r="E57" s="1">
        <v>45705</v>
      </c>
    </row>
    <row r="58" spans="5:43" x14ac:dyDescent="0.25">
      <c r="E58" s="1">
        <v>45706</v>
      </c>
    </row>
    <row r="59" spans="5:43" x14ac:dyDescent="0.25">
      <c r="E59" s="1">
        <v>45707</v>
      </c>
      <c r="F59">
        <v>212</v>
      </c>
      <c r="G59" t="s">
        <v>16</v>
      </c>
    </row>
    <row r="60" spans="5:43" x14ac:dyDescent="0.25">
      <c r="E60" s="1">
        <v>45708</v>
      </c>
    </row>
    <row r="61" spans="5:43" x14ac:dyDescent="0.25">
      <c r="E61" s="1">
        <v>45709</v>
      </c>
      <c r="F61">
        <v>214</v>
      </c>
      <c r="G61" t="s">
        <v>16</v>
      </c>
    </row>
    <row r="62" spans="5:43" x14ac:dyDescent="0.25">
      <c r="E62" s="1">
        <v>45710</v>
      </c>
    </row>
    <row r="63" spans="5:43" x14ac:dyDescent="0.25">
      <c r="E63" s="1">
        <v>45711</v>
      </c>
    </row>
    <row r="64" spans="5:43" x14ac:dyDescent="0.25">
      <c r="E64" s="1">
        <v>45712</v>
      </c>
    </row>
    <row r="65" spans="5:5" x14ac:dyDescent="0.25">
      <c r="E65" s="1">
        <v>45713</v>
      </c>
    </row>
    <row r="66" spans="5:5" x14ac:dyDescent="0.25">
      <c r="E66" s="1">
        <v>45714</v>
      </c>
    </row>
    <row r="67" spans="5:5" x14ac:dyDescent="0.25">
      <c r="E67" s="1">
        <v>45715</v>
      </c>
    </row>
    <row r="68" spans="5:5" x14ac:dyDescent="0.25">
      <c r="E68" s="1">
        <v>45716</v>
      </c>
    </row>
    <row r="69" spans="5:5" x14ac:dyDescent="0.25">
      <c r="E69" s="1">
        <v>45717</v>
      </c>
    </row>
    <row r="70" spans="5:5" x14ac:dyDescent="0.25">
      <c r="E70" s="1">
        <v>45718</v>
      </c>
    </row>
    <row r="71" spans="5:5" x14ac:dyDescent="0.25">
      <c r="E71" s="1">
        <v>45719</v>
      </c>
    </row>
    <row r="72" spans="5:5" x14ac:dyDescent="0.25">
      <c r="E72" s="1">
        <v>45720</v>
      </c>
    </row>
    <row r="73" spans="5:5" x14ac:dyDescent="0.25">
      <c r="E73" s="1">
        <v>45721</v>
      </c>
    </row>
    <row r="74" spans="5:5" x14ac:dyDescent="0.25">
      <c r="E74" s="1">
        <v>45722</v>
      </c>
    </row>
    <row r="75" spans="5:5" x14ac:dyDescent="0.25">
      <c r="E75" s="1">
        <v>45723</v>
      </c>
    </row>
    <row r="76" spans="5:5" x14ac:dyDescent="0.25">
      <c r="E76" s="1">
        <v>45724</v>
      </c>
    </row>
    <row r="77" spans="5:5" x14ac:dyDescent="0.25">
      <c r="E77" s="1">
        <v>45725</v>
      </c>
    </row>
    <row r="78" spans="5:5" x14ac:dyDescent="0.25">
      <c r="E78" s="1">
        <v>45726</v>
      </c>
    </row>
    <row r="79" spans="5:5" x14ac:dyDescent="0.25">
      <c r="E79" s="1">
        <v>45727</v>
      </c>
    </row>
    <row r="80" spans="5:5" x14ac:dyDescent="0.25">
      <c r="E80" s="1">
        <v>45728</v>
      </c>
    </row>
    <row r="81" spans="5:5" x14ac:dyDescent="0.25">
      <c r="E81" s="1">
        <v>45729</v>
      </c>
    </row>
    <row r="82" spans="5:5" x14ac:dyDescent="0.25">
      <c r="E82" s="1">
        <v>45730</v>
      </c>
    </row>
    <row r="83" spans="5:5" x14ac:dyDescent="0.25">
      <c r="E83" s="1">
        <v>45731</v>
      </c>
    </row>
    <row r="84" spans="5:5" x14ac:dyDescent="0.25">
      <c r="E84" s="1">
        <v>45732</v>
      </c>
    </row>
    <row r="85" spans="5:5" x14ac:dyDescent="0.25">
      <c r="E85" s="1">
        <v>45733</v>
      </c>
    </row>
    <row r="86" spans="5:5" x14ac:dyDescent="0.25">
      <c r="E86" s="1">
        <v>45734</v>
      </c>
    </row>
    <row r="87" spans="5:5" x14ac:dyDescent="0.25">
      <c r="E87" s="1">
        <v>45735</v>
      </c>
    </row>
    <row r="88" spans="5:5" x14ac:dyDescent="0.25">
      <c r="E88" s="1">
        <v>45736</v>
      </c>
    </row>
    <row r="89" spans="5:5" x14ac:dyDescent="0.25">
      <c r="E89" s="1">
        <v>45737</v>
      </c>
    </row>
    <row r="90" spans="5:5" x14ac:dyDescent="0.25">
      <c r="E90" s="1">
        <v>45738</v>
      </c>
    </row>
    <row r="91" spans="5:5" x14ac:dyDescent="0.25">
      <c r="E91" s="1">
        <v>45739</v>
      </c>
    </row>
    <row r="92" spans="5:5" x14ac:dyDescent="0.25">
      <c r="E92" s="1">
        <v>45740</v>
      </c>
    </row>
    <row r="93" spans="5:5" x14ac:dyDescent="0.25">
      <c r="E93" s="1">
        <v>45741</v>
      </c>
    </row>
    <row r="94" spans="5:5" x14ac:dyDescent="0.25">
      <c r="E94" s="1">
        <v>45742</v>
      </c>
    </row>
    <row r="95" spans="5:5" x14ac:dyDescent="0.25">
      <c r="E95" s="1">
        <v>45743</v>
      </c>
    </row>
    <row r="96" spans="5:5" x14ac:dyDescent="0.25">
      <c r="E96" s="1">
        <v>45744</v>
      </c>
    </row>
    <row r="97" spans="5:25" x14ac:dyDescent="0.25">
      <c r="E97" s="1">
        <v>45745</v>
      </c>
    </row>
    <row r="98" spans="5:25" x14ac:dyDescent="0.25">
      <c r="E98" s="1">
        <v>45746</v>
      </c>
      <c r="V98" s="1">
        <f>45716/0.9953</f>
        <v>45931.879835225562</v>
      </c>
    </row>
    <row r="99" spans="5:25" x14ac:dyDescent="0.25">
      <c r="E99" s="1">
        <v>45747</v>
      </c>
    </row>
    <row r="100" spans="5:25" x14ac:dyDescent="0.25">
      <c r="E100" s="1">
        <v>45748</v>
      </c>
      <c r="X100" s="2" t="s">
        <v>35</v>
      </c>
      <c r="Y100" s="2" t="s">
        <v>36</v>
      </c>
    </row>
    <row r="101" spans="5:25" x14ac:dyDescent="0.25">
      <c r="E101" s="1">
        <v>45749</v>
      </c>
      <c r="X101" s="4">
        <v>45889</v>
      </c>
      <c r="Y101" s="4">
        <v>45676</v>
      </c>
    </row>
    <row r="102" spans="5:25" x14ac:dyDescent="0.25">
      <c r="E102" s="1">
        <v>45750</v>
      </c>
      <c r="X102" s="4">
        <v>45908</v>
      </c>
      <c r="Y102" s="4">
        <v>45690</v>
      </c>
    </row>
    <row r="103" spans="5:25" x14ac:dyDescent="0.25">
      <c r="E103" s="1">
        <v>45751</v>
      </c>
      <c r="V103" s="1">
        <v>45753</v>
      </c>
      <c r="X103" s="4">
        <v>45915</v>
      </c>
      <c r="Y103" s="4">
        <v>45698</v>
      </c>
    </row>
    <row r="104" spans="5:25" x14ac:dyDescent="0.25">
      <c r="E104" s="1">
        <v>45752</v>
      </c>
      <c r="V104" s="1">
        <f>V103/0.9953</f>
        <v>45969.054556415154</v>
      </c>
      <c r="X104" s="4">
        <v>45919</v>
      </c>
      <c r="Y104" s="4">
        <v>45707</v>
      </c>
    </row>
    <row r="105" spans="5:25" x14ac:dyDescent="0.25">
      <c r="E105" s="1">
        <v>45753</v>
      </c>
      <c r="X105" s="4">
        <v>45923</v>
      </c>
      <c r="Y105" s="4">
        <v>45709</v>
      </c>
    </row>
    <row r="106" spans="5:25" x14ac:dyDescent="0.25">
      <c r="E106" s="1">
        <v>45754</v>
      </c>
      <c r="V106" s="1">
        <f>X114*0.995276066637546</f>
        <v>45750.850231194716</v>
      </c>
      <c r="X106" s="4">
        <v>45924</v>
      </c>
      <c r="Y106" s="4">
        <v>45712</v>
      </c>
    </row>
    <row r="107" spans="5:25" x14ac:dyDescent="0.25">
      <c r="E107" s="1">
        <v>45755</v>
      </c>
      <c r="V107" s="1">
        <v>45746</v>
      </c>
      <c r="X107" s="4">
        <v>45926</v>
      </c>
      <c r="Y107" s="4">
        <v>45712</v>
      </c>
    </row>
    <row r="108" spans="5:25" x14ac:dyDescent="0.25">
      <c r="E108" s="1">
        <v>45756</v>
      </c>
      <c r="X108" s="4">
        <v>45929</v>
      </c>
      <c r="Y108" s="4">
        <v>45712</v>
      </c>
    </row>
    <row r="109" spans="5:25" x14ac:dyDescent="0.25">
      <c r="E109" s="1">
        <v>45757</v>
      </c>
      <c r="X109" s="4">
        <v>45930</v>
      </c>
      <c r="Y109" s="4">
        <v>45712</v>
      </c>
    </row>
    <row r="110" spans="5:25" x14ac:dyDescent="0.25">
      <c r="E110" s="1">
        <v>45758</v>
      </c>
      <c r="X110" s="4">
        <v>45931</v>
      </c>
      <c r="Y110" s="4">
        <v>45716</v>
      </c>
    </row>
    <row r="111" spans="5:25" x14ac:dyDescent="0.25">
      <c r="E111" s="1">
        <v>45759</v>
      </c>
      <c r="X111" s="4">
        <v>45937</v>
      </c>
      <c r="Y111" s="4">
        <v>45718</v>
      </c>
    </row>
    <row r="112" spans="5:25" x14ac:dyDescent="0.25">
      <c r="E112" s="1">
        <v>45760</v>
      </c>
      <c r="X112" s="4">
        <v>45945</v>
      </c>
      <c r="Y112" s="4">
        <v>45725</v>
      </c>
    </row>
    <row r="113" spans="5:25" x14ac:dyDescent="0.25">
      <c r="E113" s="1">
        <v>45761</v>
      </c>
      <c r="X113" s="4">
        <v>45958</v>
      </c>
      <c r="Y113" s="4">
        <v>45739</v>
      </c>
    </row>
    <row r="114" spans="5:25" x14ac:dyDescent="0.25">
      <c r="E114" s="1">
        <v>45762</v>
      </c>
      <c r="X114" s="4">
        <v>45968</v>
      </c>
      <c r="Y114" s="4">
        <v>45746</v>
      </c>
    </row>
    <row r="115" spans="5:25" x14ac:dyDescent="0.25">
      <c r="E115" s="1">
        <v>45763</v>
      </c>
      <c r="X115" s="4">
        <v>45971</v>
      </c>
      <c r="Y115" s="4">
        <v>45752</v>
      </c>
    </row>
    <row r="116" spans="5:25" x14ac:dyDescent="0.25">
      <c r="E116" s="1">
        <v>45764</v>
      </c>
      <c r="X116" s="4">
        <v>45973</v>
      </c>
      <c r="Y116" s="4">
        <v>45753</v>
      </c>
    </row>
    <row r="117" spans="5:25" x14ac:dyDescent="0.25">
      <c r="E117" s="1">
        <v>45765</v>
      </c>
      <c r="X117" s="4">
        <v>45975</v>
      </c>
      <c r="Y117" s="4">
        <v>45755</v>
      </c>
    </row>
    <row r="118" spans="5:25" x14ac:dyDescent="0.25">
      <c r="E118" s="1">
        <v>45766</v>
      </c>
      <c r="X118" s="4"/>
      <c r="Y118" s="4"/>
    </row>
    <row r="119" spans="5:25" x14ac:dyDescent="0.25">
      <c r="E119" s="1">
        <v>45767</v>
      </c>
    </row>
    <row r="120" spans="5:25" x14ac:dyDescent="0.25">
      <c r="E120" s="1">
        <v>45768</v>
      </c>
    </row>
    <row r="121" spans="5:25" x14ac:dyDescent="0.25">
      <c r="E121" s="1">
        <v>45769</v>
      </c>
    </row>
    <row r="122" spans="5:25" x14ac:dyDescent="0.25">
      <c r="E122" s="1">
        <v>45770</v>
      </c>
    </row>
    <row r="123" spans="5:25" x14ac:dyDescent="0.25">
      <c r="E123" s="1">
        <v>45771</v>
      </c>
    </row>
    <row r="124" spans="5:25" x14ac:dyDescent="0.25">
      <c r="E124" s="1">
        <v>45772</v>
      </c>
    </row>
    <row r="125" spans="5:25" x14ac:dyDescent="0.25">
      <c r="E125" s="1">
        <v>45773</v>
      </c>
    </row>
    <row r="126" spans="5:25" x14ac:dyDescent="0.25">
      <c r="E126" s="1">
        <v>45774</v>
      </c>
    </row>
    <row r="127" spans="5:25" x14ac:dyDescent="0.25">
      <c r="E127" s="1">
        <v>45775</v>
      </c>
    </row>
    <row r="128" spans="5:25" x14ac:dyDescent="0.25">
      <c r="E128" s="1">
        <v>45776</v>
      </c>
    </row>
    <row r="129" spans="5:24" x14ac:dyDescent="0.25">
      <c r="E129" s="1">
        <v>45777</v>
      </c>
    </row>
    <row r="130" spans="5:24" x14ac:dyDescent="0.25">
      <c r="E130" s="1">
        <v>45778</v>
      </c>
    </row>
    <row r="131" spans="5:24" x14ac:dyDescent="0.25">
      <c r="E131" s="1">
        <v>45779</v>
      </c>
    </row>
    <row r="132" spans="5:24" x14ac:dyDescent="0.25">
      <c r="E132" s="1">
        <v>45780</v>
      </c>
    </row>
    <row r="133" spans="5:24" ht="30" x14ac:dyDescent="0.25">
      <c r="E133" s="1">
        <v>45781</v>
      </c>
      <c r="W133" s="2" t="s">
        <v>42</v>
      </c>
      <c r="X133" s="2" t="s">
        <v>41</v>
      </c>
    </row>
    <row r="134" spans="5:24" x14ac:dyDescent="0.25">
      <c r="E134" s="1">
        <v>45782</v>
      </c>
      <c r="W134" s="4">
        <v>45676</v>
      </c>
      <c r="X134" s="4">
        <v>45889</v>
      </c>
    </row>
    <row r="135" spans="5:24" x14ac:dyDescent="0.25">
      <c r="E135" s="1">
        <v>45783</v>
      </c>
      <c r="W135" s="4">
        <v>45690</v>
      </c>
      <c r="X135" s="4">
        <v>45908</v>
      </c>
    </row>
    <row r="136" spans="5:24" x14ac:dyDescent="0.25">
      <c r="E136" s="1">
        <v>45784</v>
      </c>
      <c r="W136" s="4">
        <v>45698</v>
      </c>
      <c r="X136" s="4">
        <v>45915</v>
      </c>
    </row>
    <row r="137" spans="5:24" x14ac:dyDescent="0.25">
      <c r="E137" s="1">
        <v>45785</v>
      </c>
      <c r="W137" s="4">
        <v>45707</v>
      </c>
      <c r="X137" s="4">
        <v>45919</v>
      </c>
    </row>
    <row r="138" spans="5:24" x14ac:dyDescent="0.25">
      <c r="E138" s="1">
        <v>45786</v>
      </c>
      <c r="W138" s="4">
        <v>45709</v>
      </c>
      <c r="X138" s="4">
        <v>45923</v>
      </c>
    </row>
    <row r="139" spans="5:24" x14ac:dyDescent="0.25">
      <c r="E139" s="1">
        <v>45787</v>
      </c>
      <c r="W139" s="4">
        <v>45712</v>
      </c>
      <c r="X139" s="4">
        <v>45924</v>
      </c>
    </row>
    <row r="140" spans="5:24" x14ac:dyDescent="0.25">
      <c r="E140" s="1">
        <v>45788</v>
      </c>
      <c r="V140">
        <v>1.0047463507085601</v>
      </c>
      <c r="W140" s="4">
        <v>45712</v>
      </c>
      <c r="X140" s="4">
        <v>45926</v>
      </c>
    </row>
    <row r="141" spans="5:24" x14ac:dyDescent="0.25">
      <c r="E141" s="1">
        <v>45789</v>
      </c>
      <c r="V141">
        <f>W141*1.00474635070856</f>
        <v>45928.965183589702</v>
      </c>
      <c r="W141" s="4">
        <v>45712</v>
      </c>
      <c r="X141" s="4">
        <v>45929</v>
      </c>
    </row>
    <row r="142" spans="5:24" x14ac:dyDescent="0.25">
      <c r="E142" s="1">
        <v>45790</v>
      </c>
      <c r="W142" s="4">
        <v>45712</v>
      </c>
      <c r="X142" s="4">
        <v>45930</v>
      </c>
    </row>
    <row r="143" spans="5:24" x14ac:dyDescent="0.25">
      <c r="E143" s="1">
        <v>45791</v>
      </c>
      <c r="W143" s="4">
        <v>45716</v>
      </c>
      <c r="X143" s="4">
        <v>45931</v>
      </c>
    </row>
    <row r="144" spans="5:24" x14ac:dyDescent="0.25">
      <c r="E144" s="1">
        <v>45792</v>
      </c>
      <c r="W144" s="4">
        <v>45718</v>
      </c>
      <c r="X144" s="4">
        <v>45937</v>
      </c>
    </row>
    <row r="145" spans="5:27" x14ac:dyDescent="0.25">
      <c r="E145" s="1">
        <v>45793</v>
      </c>
      <c r="W145" s="4">
        <v>45725</v>
      </c>
      <c r="X145" s="4">
        <v>45945</v>
      </c>
    </row>
    <row r="146" spans="5:27" x14ac:dyDescent="0.25">
      <c r="E146" s="1">
        <v>45794</v>
      </c>
      <c r="W146" s="4">
        <v>45739</v>
      </c>
      <c r="X146" s="4">
        <v>45958</v>
      </c>
    </row>
    <row r="147" spans="5:27" x14ac:dyDescent="0.25">
      <c r="E147" s="1">
        <v>45795</v>
      </c>
      <c r="V147" s="1">
        <f>W147*1.00474635070856</f>
        <v>45963.126559513788</v>
      </c>
      <c r="W147" s="4">
        <v>45746</v>
      </c>
      <c r="X147" s="4">
        <v>45968</v>
      </c>
    </row>
    <row r="148" spans="5:27" x14ac:dyDescent="0.25">
      <c r="E148" s="1">
        <v>45796</v>
      </c>
      <c r="V148" s="1">
        <v>45968</v>
      </c>
      <c r="W148" s="4">
        <v>45752</v>
      </c>
      <c r="X148" s="4">
        <v>45971</v>
      </c>
    </row>
    <row r="149" spans="5:27" x14ac:dyDescent="0.25">
      <c r="E149" s="1">
        <v>45797</v>
      </c>
      <c r="W149" s="4">
        <v>45753</v>
      </c>
      <c r="X149" s="4">
        <v>45973</v>
      </c>
    </row>
    <row r="150" spans="5:27" x14ac:dyDescent="0.25">
      <c r="E150" s="1">
        <v>45798</v>
      </c>
      <c r="W150" s="4">
        <v>45755</v>
      </c>
      <c r="X150" s="4">
        <v>45975</v>
      </c>
      <c r="Y150" t="s">
        <v>39</v>
      </c>
      <c r="AA150">
        <v>1.0047463507085601</v>
      </c>
    </row>
    <row r="151" spans="5:27" x14ac:dyDescent="0.25">
      <c r="E151" s="1">
        <v>45799</v>
      </c>
      <c r="W151" s="4">
        <v>45764</v>
      </c>
      <c r="X151" s="4">
        <v>45985</v>
      </c>
      <c r="Y151" t="s">
        <v>40</v>
      </c>
      <c r="AA151">
        <v>1.00475095763835</v>
      </c>
    </row>
    <row r="152" spans="5:27" x14ac:dyDescent="0.25">
      <c r="E152" s="1">
        <v>45800</v>
      </c>
      <c r="W152" s="4">
        <v>45822</v>
      </c>
      <c r="X152" s="4">
        <v>46056</v>
      </c>
    </row>
    <row r="153" spans="5:27" x14ac:dyDescent="0.25">
      <c r="E153" s="1">
        <v>45801</v>
      </c>
      <c r="W153" s="4">
        <v>45831</v>
      </c>
      <c r="X153" s="4">
        <v>46058</v>
      </c>
    </row>
    <row r="154" spans="5:27" x14ac:dyDescent="0.25">
      <c r="E154" s="1">
        <v>45802</v>
      </c>
      <c r="W154" s="4">
        <v>45846</v>
      </c>
      <c r="X154" s="4">
        <v>46080</v>
      </c>
    </row>
    <row r="155" spans="5:27" x14ac:dyDescent="0.25">
      <c r="E155" s="1">
        <v>45803</v>
      </c>
    </row>
    <row r="156" spans="5:27" x14ac:dyDescent="0.25">
      <c r="E156" s="1">
        <v>45804</v>
      </c>
    </row>
    <row r="157" spans="5:27" x14ac:dyDescent="0.25">
      <c r="E157" s="1">
        <v>45805</v>
      </c>
    </row>
    <row r="158" spans="5:27" x14ac:dyDescent="0.25">
      <c r="E158" s="1">
        <v>45806</v>
      </c>
    </row>
    <row r="159" spans="5:27" x14ac:dyDescent="0.25">
      <c r="E159" s="1">
        <v>45807</v>
      </c>
    </row>
    <row r="160" spans="5:27" x14ac:dyDescent="0.25">
      <c r="E160" s="1">
        <v>45808</v>
      </c>
    </row>
    <row r="161" spans="5:5" x14ac:dyDescent="0.25">
      <c r="E161" s="1">
        <v>45809</v>
      </c>
    </row>
    <row r="162" spans="5:5" x14ac:dyDescent="0.25">
      <c r="E162" s="1">
        <v>45810</v>
      </c>
    </row>
    <row r="163" spans="5:5" x14ac:dyDescent="0.25">
      <c r="E163" s="1">
        <v>45811</v>
      </c>
    </row>
    <row r="164" spans="5:5" x14ac:dyDescent="0.25">
      <c r="E164" s="1">
        <v>45812</v>
      </c>
    </row>
    <row r="165" spans="5:5" x14ac:dyDescent="0.25">
      <c r="E165" s="1">
        <v>45813</v>
      </c>
    </row>
    <row r="166" spans="5:5" x14ac:dyDescent="0.25">
      <c r="E166" s="1">
        <v>45814</v>
      </c>
    </row>
    <row r="167" spans="5:5" x14ac:dyDescent="0.25">
      <c r="E167" s="1">
        <v>45815</v>
      </c>
    </row>
    <row r="168" spans="5:5" x14ac:dyDescent="0.25">
      <c r="E168" s="1">
        <v>45816</v>
      </c>
    </row>
    <row r="169" spans="5:5" x14ac:dyDescent="0.25">
      <c r="E169" s="1">
        <v>45817</v>
      </c>
    </row>
    <row r="170" spans="5:5" x14ac:dyDescent="0.25">
      <c r="E170" s="1">
        <v>45818</v>
      </c>
    </row>
    <row r="171" spans="5:5" x14ac:dyDescent="0.25">
      <c r="E171" s="1">
        <v>45819</v>
      </c>
    </row>
    <row r="172" spans="5:5" x14ac:dyDescent="0.25">
      <c r="E172" s="1">
        <v>45820</v>
      </c>
    </row>
    <row r="173" spans="5:5" x14ac:dyDescent="0.25">
      <c r="E173" s="1">
        <v>45821</v>
      </c>
    </row>
    <row r="174" spans="5:5" x14ac:dyDescent="0.25">
      <c r="E174" s="1">
        <v>45822</v>
      </c>
    </row>
    <row r="175" spans="5:5" x14ac:dyDescent="0.25">
      <c r="E175" s="1">
        <v>45823</v>
      </c>
    </row>
    <row r="176" spans="5:5" x14ac:dyDescent="0.25">
      <c r="E176" s="1">
        <v>45824</v>
      </c>
    </row>
    <row r="177" spans="5:5" x14ac:dyDescent="0.25">
      <c r="E177" s="1">
        <v>45825</v>
      </c>
    </row>
    <row r="178" spans="5:5" x14ac:dyDescent="0.25">
      <c r="E178" s="1">
        <v>45826</v>
      </c>
    </row>
    <row r="179" spans="5:5" x14ac:dyDescent="0.25">
      <c r="E179" s="1">
        <v>45827</v>
      </c>
    </row>
    <row r="180" spans="5:5" x14ac:dyDescent="0.25">
      <c r="E180" s="1">
        <v>45828</v>
      </c>
    </row>
    <row r="181" spans="5:5" x14ac:dyDescent="0.25">
      <c r="E181" s="1">
        <v>45829</v>
      </c>
    </row>
    <row r="182" spans="5:5" x14ac:dyDescent="0.25">
      <c r="E182" s="1">
        <v>45830</v>
      </c>
    </row>
    <row r="183" spans="5:5" x14ac:dyDescent="0.25">
      <c r="E183" s="1">
        <v>45831</v>
      </c>
    </row>
    <row r="184" spans="5:5" x14ac:dyDescent="0.25">
      <c r="E184" s="1">
        <v>45832</v>
      </c>
    </row>
    <row r="185" spans="5:5" x14ac:dyDescent="0.25">
      <c r="E185" s="1">
        <v>45833</v>
      </c>
    </row>
    <row r="186" spans="5:5" x14ac:dyDescent="0.25">
      <c r="E186" s="1">
        <v>45834</v>
      </c>
    </row>
    <row r="187" spans="5:5" x14ac:dyDescent="0.25">
      <c r="E187" s="1">
        <v>45835</v>
      </c>
    </row>
    <row r="188" spans="5:5" x14ac:dyDescent="0.25">
      <c r="E188" s="1">
        <v>45836</v>
      </c>
    </row>
    <row r="189" spans="5:5" x14ac:dyDescent="0.25">
      <c r="E189" s="1">
        <v>45837</v>
      </c>
    </row>
    <row r="190" spans="5:5" x14ac:dyDescent="0.25">
      <c r="E190" s="1">
        <v>45838</v>
      </c>
    </row>
    <row r="191" spans="5:5" x14ac:dyDescent="0.25">
      <c r="E191" s="1">
        <v>45839</v>
      </c>
    </row>
    <row r="192" spans="5:5" x14ac:dyDescent="0.25">
      <c r="E192" s="1">
        <v>45840</v>
      </c>
    </row>
    <row r="193" spans="5:5" x14ac:dyDescent="0.25">
      <c r="E193" s="1">
        <v>45841</v>
      </c>
    </row>
    <row r="194" spans="5:5" x14ac:dyDescent="0.25">
      <c r="E194" s="1">
        <v>45842</v>
      </c>
    </row>
    <row r="195" spans="5:5" x14ac:dyDescent="0.25">
      <c r="E195" s="1">
        <v>45843</v>
      </c>
    </row>
    <row r="196" spans="5:5" x14ac:dyDescent="0.25">
      <c r="E196" s="1">
        <v>45844</v>
      </c>
    </row>
    <row r="197" spans="5:5" x14ac:dyDescent="0.25">
      <c r="E197" s="1">
        <v>45845</v>
      </c>
    </row>
    <row r="198" spans="5:5" x14ac:dyDescent="0.25">
      <c r="E198" s="1">
        <v>45846</v>
      </c>
    </row>
    <row r="199" spans="5:5" x14ac:dyDescent="0.25">
      <c r="E199" s="1">
        <v>45847</v>
      </c>
    </row>
    <row r="200" spans="5:5" x14ac:dyDescent="0.25">
      <c r="E200" s="1">
        <v>45848</v>
      </c>
    </row>
    <row r="201" spans="5:5" x14ac:dyDescent="0.25">
      <c r="E201" s="1">
        <v>45849</v>
      </c>
    </row>
    <row r="202" spans="5:5" x14ac:dyDescent="0.25">
      <c r="E202" s="1">
        <v>45850</v>
      </c>
    </row>
    <row r="203" spans="5:5" x14ac:dyDescent="0.25">
      <c r="E203" s="1">
        <v>45851</v>
      </c>
    </row>
    <row r="204" spans="5:5" x14ac:dyDescent="0.25">
      <c r="E204" s="1">
        <v>45852</v>
      </c>
    </row>
    <row r="205" spans="5:5" x14ac:dyDescent="0.25">
      <c r="E205" s="1">
        <v>45853</v>
      </c>
    </row>
    <row r="206" spans="5:5" x14ac:dyDescent="0.25">
      <c r="E206" s="1">
        <v>45854</v>
      </c>
    </row>
    <row r="207" spans="5:5" x14ac:dyDescent="0.25">
      <c r="E207" s="1">
        <v>45855</v>
      </c>
    </row>
    <row r="208" spans="5:5" x14ac:dyDescent="0.25">
      <c r="E208" s="1">
        <v>45856</v>
      </c>
    </row>
    <row r="209" spans="5:5" x14ac:dyDescent="0.25">
      <c r="E209" s="1">
        <v>45857</v>
      </c>
    </row>
    <row r="210" spans="5:5" x14ac:dyDescent="0.25">
      <c r="E210" s="1">
        <v>45858</v>
      </c>
    </row>
    <row r="211" spans="5:5" x14ac:dyDescent="0.25">
      <c r="E211" s="1">
        <v>45859</v>
      </c>
    </row>
    <row r="212" spans="5:5" x14ac:dyDescent="0.25">
      <c r="E212" s="1">
        <v>45860</v>
      </c>
    </row>
    <row r="213" spans="5:5" x14ac:dyDescent="0.25">
      <c r="E213" s="1">
        <v>45861</v>
      </c>
    </row>
    <row r="214" spans="5:5" x14ac:dyDescent="0.25">
      <c r="E214" s="1">
        <v>45862</v>
      </c>
    </row>
    <row r="215" spans="5:5" x14ac:dyDescent="0.25">
      <c r="E215" s="1">
        <v>45863</v>
      </c>
    </row>
    <row r="216" spans="5:5" x14ac:dyDescent="0.25">
      <c r="E216" s="1">
        <v>45864</v>
      </c>
    </row>
    <row r="217" spans="5:5" x14ac:dyDescent="0.25">
      <c r="E217" s="1">
        <v>45865</v>
      </c>
    </row>
    <row r="218" spans="5:5" x14ac:dyDescent="0.25">
      <c r="E218" s="1">
        <v>45866</v>
      </c>
    </row>
    <row r="219" spans="5:5" x14ac:dyDescent="0.25">
      <c r="E219" s="1">
        <v>45867</v>
      </c>
    </row>
    <row r="220" spans="5:5" x14ac:dyDescent="0.25">
      <c r="E220" s="1">
        <v>45868</v>
      </c>
    </row>
    <row r="221" spans="5:5" x14ac:dyDescent="0.25">
      <c r="E221" s="1">
        <v>45869</v>
      </c>
    </row>
    <row r="222" spans="5:5" x14ac:dyDescent="0.25">
      <c r="E222" s="1">
        <v>45870</v>
      </c>
    </row>
    <row r="223" spans="5:5" x14ac:dyDescent="0.25">
      <c r="E223" s="1">
        <v>45871</v>
      </c>
    </row>
    <row r="224" spans="5:5" x14ac:dyDescent="0.25">
      <c r="E224" s="1">
        <v>45872</v>
      </c>
    </row>
    <row r="225" spans="5:5" x14ac:dyDescent="0.25">
      <c r="E225" s="1">
        <v>45873</v>
      </c>
    </row>
    <row r="226" spans="5:5" x14ac:dyDescent="0.25">
      <c r="E226" s="1">
        <v>45874</v>
      </c>
    </row>
    <row r="227" spans="5:5" x14ac:dyDescent="0.25">
      <c r="E227" s="1">
        <v>45875</v>
      </c>
    </row>
    <row r="228" spans="5:5" x14ac:dyDescent="0.25">
      <c r="E228" s="1">
        <v>45876</v>
      </c>
    </row>
    <row r="229" spans="5:5" x14ac:dyDescent="0.25">
      <c r="E229" s="1">
        <v>45877</v>
      </c>
    </row>
    <row r="230" spans="5:5" x14ac:dyDescent="0.25">
      <c r="E230" s="1">
        <v>45878</v>
      </c>
    </row>
    <row r="231" spans="5:5" x14ac:dyDescent="0.25">
      <c r="E231" s="1">
        <v>45879</v>
      </c>
    </row>
    <row r="232" spans="5:5" x14ac:dyDescent="0.25">
      <c r="E232" s="1">
        <v>45880</v>
      </c>
    </row>
    <row r="233" spans="5:5" x14ac:dyDescent="0.25">
      <c r="E233" s="1">
        <v>45881</v>
      </c>
    </row>
    <row r="234" spans="5:5" x14ac:dyDescent="0.25">
      <c r="E234" s="1">
        <v>45882</v>
      </c>
    </row>
    <row r="235" spans="5:5" x14ac:dyDescent="0.25">
      <c r="E235" s="1">
        <v>45883</v>
      </c>
    </row>
    <row r="236" spans="5:5" x14ac:dyDescent="0.25">
      <c r="E236" s="1">
        <v>45884</v>
      </c>
    </row>
    <row r="237" spans="5:5" x14ac:dyDescent="0.25">
      <c r="E237" s="1">
        <v>45885</v>
      </c>
    </row>
    <row r="238" spans="5:5" x14ac:dyDescent="0.25">
      <c r="E238" s="1">
        <v>45886</v>
      </c>
    </row>
    <row r="239" spans="5:5" x14ac:dyDescent="0.25">
      <c r="E239" s="1">
        <v>45887</v>
      </c>
    </row>
    <row r="240" spans="5:5" x14ac:dyDescent="0.25">
      <c r="E240" s="1">
        <v>45888</v>
      </c>
    </row>
    <row r="241" spans="5:5" x14ac:dyDescent="0.25">
      <c r="E241" s="1">
        <v>45889</v>
      </c>
    </row>
    <row r="242" spans="5:5" x14ac:dyDescent="0.25">
      <c r="E242" s="1">
        <v>45890</v>
      </c>
    </row>
    <row r="243" spans="5:5" x14ac:dyDescent="0.25">
      <c r="E243" s="1">
        <v>45891</v>
      </c>
    </row>
    <row r="244" spans="5:5" x14ac:dyDescent="0.25">
      <c r="E244" s="1">
        <v>45892</v>
      </c>
    </row>
    <row r="245" spans="5:5" x14ac:dyDescent="0.25">
      <c r="E245" s="1">
        <v>45893</v>
      </c>
    </row>
    <row r="246" spans="5:5" x14ac:dyDescent="0.25">
      <c r="E246" s="1">
        <v>45894</v>
      </c>
    </row>
    <row r="247" spans="5:5" x14ac:dyDescent="0.25">
      <c r="E247" s="1">
        <v>45895</v>
      </c>
    </row>
    <row r="248" spans="5:5" x14ac:dyDescent="0.25">
      <c r="E248" s="1">
        <v>45896</v>
      </c>
    </row>
    <row r="249" spans="5:5" x14ac:dyDescent="0.25">
      <c r="E249" s="1">
        <v>45897</v>
      </c>
    </row>
    <row r="250" spans="5:5" x14ac:dyDescent="0.25">
      <c r="E250" s="1">
        <v>45898</v>
      </c>
    </row>
    <row r="251" spans="5:5" x14ac:dyDescent="0.25">
      <c r="E251" s="1">
        <v>45899</v>
      </c>
    </row>
    <row r="252" spans="5:5" x14ac:dyDescent="0.25">
      <c r="E252" s="1">
        <v>45900</v>
      </c>
    </row>
    <row r="253" spans="5:5" x14ac:dyDescent="0.25">
      <c r="E253" s="1">
        <v>45901</v>
      </c>
    </row>
    <row r="254" spans="5:5" x14ac:dyDescent="0.25">
      <c r="E254" s="1">
        <v>45902</v>
      </c>
    </row>
    <row r="255" spans="5:5" x14ac:dyDescent="0.25">
      <c r="E255" s="1">
        <v>45903</v>
      </c>
    </row>
    <row r="256" spans="5:5" x14ac:dyDescent="0.25">
      <c r="E256" s="1">
        <v>45904</v>
      </c>
    </row>
    <row r="257" spans="5:7" x14ac:dyDescent="0.25">
      <c r="E257" s="1">
        <v>45905</v>
      </c>
    </row>
    <row r="258" spans="5:7" x14ac:dyDescent="0.25">
      <c r="E258" s="1">
        <v>45906</v>
      </c>
    </row>
    <row r="259" spans="5:7" x14ac:dyDescent="0.25">
      <c r="E259" s="1">
        <v>45907</v>
      </c>
    </row>
    <row r="260" spans="5:7" x14ac:dyDescent="0.25">
      <c r="E260" s="1">
        <v>45908</v>
      </c>
      <c r="F260">
        <v>294</v>
      </c>
      <c r="G260" t="s">
        <v>18</v>
      </c>
    </row>
    <row r="261" spans="5:7" x14ac:dyDescent="0.25">
      <c r="E261" s="1">
        <v>45909</v>
      </c>
    </row>
    <row r="262" spans="5:7" x14ac:dyDescent="0.25">
      <c r="E262" s="1">
        <v>45910</v>
      </c>
    </row>
    <row r="263" spans="5:7" x14ac:dyDescent="0.25">
      <c r="E263" s="1">
        <v>45911</v>
      </c>
    </row>
    <row r="264" spans="5:7" x14ac:dyDescent="0.25">
      <c r="E264" s="1">
        <v>45912</v>
      </c>
    </row>
    <row r="265" spans="5:7" x14ac:dyDescent="0.25">
      <c r="E265" s="1">
        <v>45913</v>
      </c>
    </row>
    <row r="266" spans="5:7" x14ac:dyDescent="0.25">
      <c r="E266" s="1">
        <v>45914</v>
      </c>
    </row>
    <row r="267" spans="5:7" x14ac:dyDescent="0.25">
      <c r="E267" s="1">
        <v>45915</v>
      </c>
      <c r="F267">
        <v>256</v>
      </c>
      <c r="G267" t="s">
        <v>18</v>
      </c>
    </row>
    <row r="268" spans="5:7" x14ac:dyDescent="0.25">
      <c r="E268" s="1">
        <v>45916</v>
      </c>
    </row>
    <row r="269" spans="5:7" x14ac:dyDescent="0.25">
      <c r="E269" s="1">
        <v>45917</v>
      </c>
    </row>
    <row r="270" spans="5:7" x14ac:dyDescent="0.25">
      <c r="E270" s="1">
        <v>45918</v>
      </c>
    </row>
    <row r="271" spans="5:7" x14ac:dyDescent="0.25">
      <c r="E271" s="1">
        <v>45919</v>
      </c>
      <c r="F271">
        <v>220</v>
      </c>
      <c r="G271" t="s">
        <v>18</v>
      </c>
    </row>
    <row r="272" spans="5:7" x14ac:dyDescent="0.25">
      <c r="E272" s="1">
        <v>45920</v>
      </c>
    </row>
    <row r="273" spans="5:7" x14ac:dyDescent="0.25">
      <c r="E273" s="1">
        <v>45921</v>
      </c>
    </row>
    <row r="274" spans="5:7" x14ac:dyDescent="0.25">
      <c r="E274" s="1">
        <v>45922</v>
      </c>
    </row>
    <row r="275" spans="5:7" x14ac:dyDescent="0.25">
      <c r="E275" s="1">
        <v>45923</v>
      </c>
      <c r="F275">
        <v>225</v>
      </c>
      <c r="G275" t="s">
        <v>18</v>
      </c>
    </row>
    <row r="276" spans="5:7" x14ac:dyDescent="0.25">
      <c r="E276" s="1">
        <v>45924</v>
      </c>
    </row>
    <row r="277" spans="5:7" x14ac:dyDescent="0.25">
      <c r="E277" s="1">
        <v>45925</v>
      </c>
    </row>
    <row r="278" spans="5:7" x14ac:dyDescent="0.25">
      <c r="E278" s="1">
        <v>45926</v>
      </c>
    </row>
    <row r="279" spans="5:7" x14ac:dyDescent="0.25">
      <c r="E279" s="1">
        <v>45927</v>
      </c>
    </row>
    <row r="280" spans="5:7" x14ac:dyDescent="0.25">
      <c r="E280" s="1">
        <v>45928</v>
      </c>
    </row>
    <row r="281" spans="5:7" x14ac:dyDescent="0.25">
      <c r="E281" s="1">
        <v>45929</v>
      </c>
    </row>
    <row r="282" spans="5:7" x14ac:dyDescent="0.25">
      <c r="E282" s="1">
        <v>45930</v>
      </c>
    </row>
    <row r="283" spans="5:7" x14ac:dyDescent="0.25">
      <c r="E283" s="1">
        <v>45931</v>
      </c>
    </row>
    <row r="284" spans="5:7" x14ac:dyDescent="0.25">
      <c r="E284" s="1">
        <v>45932</v>
      </c>
    </row>
    <row r="285" spans="5:7" x14ac:dyDescent="0.25">
      <c r="E285" s="1">
        <v>45933</v>
      </c>
    </row>
    <row r="286" spans="5:7" x14ac:dyDescent="0.25">
      <c r="E286" s="1">
        <v>45934</v>
      </c>
    </row>
    <row r="287" spans="5:7" x14ac:dyDescent="0.25">
      <c r="E287" s="1">
        <v>45935</v>
      </c>
    </row>
    <row r="288" spans="5:7" x14ac:dyDescent="0.25">
      <c r="E288" s="1">
        <v>45936</v>
      </c>
    </row>
    <row r="289" spans="5:5" x14ac:dyDescent="0.25">
      <c r="E289" s="1">
        <v>45937</v>
      </c>
    </row>
    <row r="290" spans="5:5" x14ac:dyDescent="0.25">
      <c r="E290" s="1">
        <v>45938</v>
      </c>
    </row>
    <row r="291" spans="5:5" x14ac:dyDescent="0.25">
      <c r="E291" s="1">
        <v>45939</v>
      </c>
    </row>
    <row r="292" spans="5:5" x14ac:dyDescent="0.25">
      <c r="E292" s="1">
        <v>45940</v>
      </c>
    </row>
    <row r="293" spans="5:5" x14ac:dyDescent="0.25">
      <c r="E293" s="1">
        <v>45941</v>
      </c>
    </row>
    <row r="294" spans="5:5" x14ac:dyDescent="0.25">
      <c r="E294" s="1">
        <v>45942</v>
      </c>
    </row>
    <row r="295" spans="5:5" x14ac:dyDescent="0.25">
      <c r="E295" s="1">
        <v>45943</v>
      </c>
    </row>
    <row r="296" spans="5:5" x14ac:dyDescent="0.25">
      <c r="E296" s="1">
        <v>45944</v>
      </c>
    </row>
    <row r="297" spans="5:5" x14ac:dyDescent="0.25">
      <c r="E297" s="1">
        <v>45945</v>
      </c>
    </row>
    <row r="298" spans="5:5" x14ac:dyDescent="0.25">
      <c r="E298" s="1">
        <v>45946</v>
      </c>
    </row>
    <row r="299" spans="5:5" x14ac:dyDescent="0.25">
      <c r="E299" s="1">
        <v>45947</v>
      </c>
    </row>
    <row r="300" spans="5:5" x14ac:dyDescent="0.25">
      <c r="E300" s="1">
        <v>45948</v>
      </c>
    </row>
    <row r="301" spans="5:5" x14ac:dyDescent="0.25">
      <c r="E301" s="1">
        <v>45949</v>
      </c>
    </row>
    <row r="302" spans="5:5" x14ac:dyDescent="0.25">
      <c r="E302" s="1">
        <v>45950</v>
      </c>
    </row>
    <row r="303" spans="5:5" x14ac:dyDescent="0.25">
      <c r="E303" s="1">
        <v>45951</v>
      </c>
    </row>
    <row r="304" spans="5:5" x14ac:dyDescent="0.25">
      <c r="E304" s="1">
        <v>45952</v>
      </c>
    </row>
    <row r="305" spans="5:5" x14ac:dyDescent="0.25">
      <c r="E305" s="1">
        <v>45953</v>
      </c>
    </row>
    <row r="306" spans="5:5" x14ac:dyDescent="0.25">
      <c r="E306" s="1">
        <v>45954</v>
      </c>
    </row>
    <row r="307" spans="5:5" x14ac:dyDescent="0.25">
      <c r="E307" s="1">
        <v>45955</v>
      </c>
    </row>
    <row r="308" spans="5:5" x14ac:dyDescent="0.25">
      <c r="E308" s="1">
        <v>45956</v>
      </c>
    </row>
    <row r="309" spans="5:5" x14ac:dyDescent="0.25">
      <c r="E309" s="1">
        <v>45957</v>
      </c>
    </row>
    <row r="310" spans="5:5" x14ac:dyDescent="0.25">
      <c r="E310" s="1">
        <v>45958</v>
      </c>
    </row>
    <row r="311" spans="5:5" x14ac:dyDescent="0.25">
      <c r="E311" s="1">
        <v>45959</v>
      </c>
    </row>
    <row r="312" spans="5:5" x14ac:dyDescent="0.25">
      <c r="E312" s="1">
        <v>45960</v>
      </c>
    </row>
    <row r="313" spans="5:5" x14ac:dyDescent="0.25">
      <c r="E313" s="1">
        <v>45961</v>
      </c>
    </row>
    <row r="314" spans="5:5" x14ac:dyDescent="0.25">
      <c r="E314" s="1">
        <v>45962</v>
      </c>
    </row>
    <row r="315" spans="5:5" x14ac:dyDescent="0.25">
      <c r="E315" s="1">
        <v>45963</v>
      </c>
    </row>
    <row r="316" spans="5:5" x14ac:dyDescent="0.25">
      <c r="E316" s="1">
        <v>45964</v>
      </c>
    </row>
    <row r="317" spans="5:5" x14ac:dyDescent="0.25">
      <c r="E317" s="1">
        <v>45965</v>
      </c>
    </row>
    <row r="318" spans="5:5" x14ac:dyDescent="0.25">
      <c r="E318" s="1">
        <v>45966</v>
      </c>
    </row>
    <row r="319" spans="5:5" x14ac:dyDescent="0.25">
      <c r="E319" s="1">
        <v>45967</v>
      </c>
    </row>
    <row r="320" spans="5:5" x14ac:dyDescent="0.25">
      <c r="E320" s="1">
        <v>45968</v>
      </c>
    </row>
    <row r="321" spans="5:5" x14ac:dyDescent="0.25">
      <c r="E321" s="1">
        <v>45969</v>
      </c>
    </row>
    <row r="322" spans="5:5" x14ac:dyDescent="0.25">
      <c r="E322" s="1">
        <v>45970</v>
      </c>
    </row>
    <row r="323" spans="5:5" x14ac:dyDescent="0.25">
      <c r="E323" s="1">
        <v>45971</v>
      </c>
    </row>
    <row r="324" spans="5:5" x14ac:dyDescent="0.25">
      <c r="E324" s="1">
        <v>45972</v>
      </c>
    </row>
    <row r="325" spans="5:5" x14ac:dyDescent="0.25">
      <c r="E325" s="1">
        <v>45973</v>
      </c>
    </row>
    <row r="326" spans="5:5" x14ac:dyDescent="0.25">
      <c r="E326" s="1">
        <v>45974</v>
      </c>
    </row>
    <row r="327" spans="5:5" x14ac:dyDescent="0.25">
      <c r="E327" s="1">
        <v>45975</v>
      </c>
    </row>
    <row r="328" spans="5:5" x14ac:dyDescent="0.25">
      <c r="E328" s="1">
        <v>45976</v>
      </c>
    </row>
    <row r="329" spans="5:5" x14ac:dyDescent="0.25">
      <c r="E329" s="1">
        <v>45977</v>
      </c>
    </row>
    <row r="330" spans="5:5" x14ac:dyDescent="0.25">
      <c r="E330" s="1">
        <v>45978</v>
      </c>
    </row>
    <row r="331" spans="5:5" x14ac:dyDescent="0.25">
      <c r="E331" s="1">
        <v>45979</v>
      </c>
    </row>
    <row r="332" spans="5:5" x14ac:dyDescent="0.25">
      <c r="E332" s="1">
        <v>45980</v>
      </c>
    </row>
    <row r="333" spans="5:5" x14ac:dyDescent="0.25">
      <c r="E333" s="1">
        <v>45981</v>
      </c>
    </row>
    <row r="334" spans="5:5" x14ac:dyDescent="0.25">
      <c r="E334" s="1">
        <v>45982</v>
      </c>
    </row>
    <row r="335" spans="5:5" x14ac:dyDescent="0.25">
      <c r="E335" s="1">
        <v>45983</v>
      </c>
    </row>
    <row r="336" spans="5:5" x14ac:dyDescent="0.25">
      <c r="E336" s="1">
        <v>45984</v>
      </c>
    </row>
    <row r="337" spans="5:5" x14ac:dyDescent="0.25">
      <c r="E337" s="1">
        <v>45985</v>
      </c>
    </row>
    <row r="338" spans="5:5" x14ac:dyDescent="0.25">
      <c r="E338" s="1">
        <v>45986</v>
      </c>
    </row>
    <row r="339" spans="5:5" x14ac:dyDescent="0.25">
      <c r="E339" s="1">
        <v>45987</v>
      </c>
    </row>
    <row r="340" spans="5:5" x14ac:dyDescent="0.25">
      <c r="E340" s="1">
        <v>45988</v>
      </c>
    </row>
    <row r="341" spans="5:5" x14ac:dyDescent="0.25">
      <c r="E341" s="1">
        <v>45989</v>
      </c>
    </row>
    <row r="342" spans="5:5" x14ac:dyDescent="0.25">
      <c r="E342" s="1">
        <v>45990</v>
      </c>
    </row>
    <row r="343" spans="5:5" x14ac:dyDescent="0.25">
      <c r="E343" s="1">
        <v>45991</v>
      </c>
    </row>
    <row r="344" spans="5:5" x14ac:dyDescent="0.25">
      <c r="E344" s="1">
        <v>45992</v>
      </c>
    </row>
    <row r="345" spans="5:5" x14ac:dyDescent="0.25">
      <c r="E345" s="1">
        <v>45993</v>
      </c>
    </row>
    <row r="346" spans="5:5" x14ac:dyDescent="0.25">
      <c r="E346" s="1">
        <v>45994</v>
      </c>
    </row>
    <row r="347" spans="5:5" x14ac:dyDescent="0.25">
      <c r="E347" s="1">
        <v>45995</v>
      </c>
    </row>
    <row r="348" spans="5:5" x14ac:dyDescent="0.25">
      <c r="E348" s="1">
        <v>45996</v>
      </c>
    </row>
    <row r="349" spans="5:5" x14ac:dyDescent="0.25">
      <c r="E349" s="1">
        <v>45997</v>
      </c>
    </row>
    <row r="350" spans="5:5" x14ac:dyDescent="0.25">
      <c r="E350" s="1">
        <v>45998</v>
      </c>
    </row>
    <row r="351" spans="5:5" x14ac:dyDescent="0.25">
      <c r="E351" s="1">
        <v>45999</v>
      </c>
    </row>
    <row r="352" spans="5:5" x14ac:dyDescent="0.25">
      <c r="E352" s="1">
        <v>46000</v>
      </c>
    </row>
    <row r="353" spans="5:5" x14ac:dyDescent="0.25">
      <c r="E353" s="1">
        <v>46001</v>
      </c>
    </row>
    <row r="354" spans="5:5" x14ac:dyDescent="0.25">
      <c r="E354" s="1">
        <v>46002</v>
      </c>
    </row>
    <row r="355" spans="5:5" x14ac:dyDescent="0.25">
      <c r="E355" s="1">
        <v>46003</v>
      </c>
    </row>
    <row r="356" spans="5:5" x14ac:dyDescent="0.25">
      <c r="E356" s="1">
        <v>46004</v>
      </c>
    </row>
    <row r="357" spans="5:5" x14ac:dyDescent="0.25">
      <c r="E357" s="1">
        <v>46005</v>
      </c>
    </row>
    <row r="358" spans="5:5" x14ac:dyDescent="0.25">
      <c r="E358" s="1">
        <v>46006</v>
      </c>
    </row>
    <row r="359" spans="5:5" x14ac:dyDescent="0.25">
      <c r="E359" s="1">
        <v>46007</v>
      </c>
    </row>
    <row r="360" spans="5:5" x14ac:dyDescent="0.25">
      <c r="E360" s="1">
        <v>46008</v>
      </c>
    </row>
    <row r="361" spans="5:5" x14ac:dyDescent="0.25">
      <c r="E361" s="1">
        <v>46009</v>
      </c>
    </row>
    <row r="362" spans="5:5" x14ac:dyDescent="0.25">
      <c r="E362" s="1">
        <v>46010</v>
      </c>
    </row>
    <row r="363" spans="5:5" x14ac:dyDescent="0.25">
      <c r="E363" s="1">
        <v>46011</v>
      </c>
    </row>
    <row r="364" spans="5:5" x14ac:dyDescent="0.25">
      <c r="E364" s="1">
        <v>46012</v>
      </c>
    </row>
    <row r="365" spans="5:5" x14ac:dyDescent="0.25">
      <c r="E365" s="1">
        <v>46013</v>
      </c>
    </row>
    <row r="366" spans="5:5" x14ac:dyDescent="0.25">
      <c r="E366" s="1">
        <v>46014</v>
      </c>
    </row>
    <row r="367" spans="5:5" x14ac:dyDescent="0.25">
      <c r="E367" s="1">
        <v>46015</v>
      </c>
    </row>
    <row r="368" spans="5:5" x14ac:dyDescent="0.25">
      <c r="E368" s="1">
        <v>46016</v>
      </c>
    </row>
    <row r="369" spans="5:5" x14ac:dyDescent="0.25">
      <c r="E369" s="1">
        <v>46017</v>
      </c>
    </row>
    <row r="370" spans="5:5" x14ac:dyDescent="0.25">
      <c r="E370" s="1">
        <v>46018</v>
      </c>
    </row>
    <row r="371" spans="5:5" x14ac:dyDescent="0.25">
      <c r="E371" s="1">
        <v>46019</v>
      </c>
    </row>
    <row r="372" spans="5:5" x14ac:dyDescent="0.25">
      <c r="E372" s="1">
        <v>46020</v>
      </c>
    </row>
    <row r="373" spans="5:5" x14ac:dyDescent="0.25">
      <c r="E373" s="1">
        <v>46021</v>
      </c>
    </row>
    <row r="374" spans="5:5" x14ac:dyDescent="0.25">
      <c r="E374" s="1">
        <v>46022</v>
      </c>
    </row>
    <row r="375" spans="5:5" x14ac:dyDescent="0.25">
      <c r="E375" s="1">
        <v>46023</v>
      </c>
    </row>
    <row r="376" spans="5:5" x14ac:dyDescent="0.25">
      <c r="E376" s="1">
        <v>46024</v>
      </c>
    </row>
    <row r="377" spans="5:5" x14ac:dyDescent="0.25">
      <c r="E377" s="1">
        <v>46025</v>
      </c>
    </row>
    <row r="378" spans="5:5" x14ac:dyDescent="0.25">
      <c r="E378" s="1">
        <v>46026</v>
      </c>
    </row>
    <row r="379" spans="5:5" x14ac:dyDescent="0.25">
      <c r="E379" s="1">
        <v>46027</v>
      </c>
    </row>
    <row r="380" spans="5:5" x14ac:dyDescent="0.25">
      <c r="E380" s="1">
        <v>46028</v>
      </c>
    </row>
    <row r="381" spans="5:5" x14ac:dyDescent="0.25">
      <c r="E381" s="1">
        <v>46029</v>
      </c>
    </row>
    <row r="382" spans="5:5" x14ac:dyDescent="0.25">
      <c r="E382" s="1">
        <v>46030</v>
      </c>
    </row>
    <row r="383" spans="5:5" x14ac:dyDescent="0.25">
      <c r="E383" s="1">
        <v>46031</v>
      </c>
    </row>
    <row r="384" spans="5:5" x14ac:dyDescent="0.25">
      <c r="E384" s="1">
        <v>46032</v>
      </c>
    </row>
    <row r="385" spans="5:5" x14ac:dyDescent="0.25">
      <c r="E385" s="1">
        <v>46033</v>
      </c>
    </row>
    <row r="386" spans="5:5" x14ac:dyDescent="0.25">
      <c r="E386" s="1">
        <v>46034</v>
      </c>
    </row>
    <row r="387" spans="5:5" x14ac:dyDescent="0.25">
      <c r="E387" s="1">
        <v>46035</v>
      </c>
    </row>
    <row r="388" spans="5:5" x14ac:dyDescent="0.25">
      <c r="E388" s="1">
        <v>46036</v>
      </c>
    </row>
    <row r="389" spans="5:5" x14ac:dyDescent="0.25">
      <c r="E389" s="1">
        <v>46037</v>
      </c>
    </row>
    <row r="390" spans="5:5" x14ac:dyDescent="0.25">
      <c r="E390" s="1">
        <v>46038</v>
      </c>
    </row>
    <row r="391" spans="5:5" x14ac:dyDescent="0.25">
      <c r="E391" s="1">
        <v>46039</v>
      </c>
    </row>
    <row r="392" spans="5:5" x14ac:dyDescent="0.25">
      <c r="E392" s="1">
        <v>46040</v>
      </c>
    </row>
    <row r="393" spans="5:5" x14ac:dyDescent="0.25">
      <c r="E393" s="1">
        <v>46041</v>
      </c>
    </row>
    <row r="394" spans="5:5" x14ac:dyDescent="0.25">
      <c r="E394" s="1">
        <v>46042</v>
      </c>
    </row>
    <row r="395" spans="5:5" x14ac:dyDescent="0.25">
      <c r="E395" s="1">
        <v>46043</v>
      </c>
    </row>
    <row r="396" spans="5:5" x14ac:dyDescent="0.25">
      <c r="E396" s="1">
        <v>46044</v>
      </c>
    </row>
    <row r="397" spans="5:5" x14ac:dyDescent="0.25">
      <c r="E397" s="1">
        <v>46045</v>
      </c>
    </row>
    <row r="398" spans="5:5" x14ac:dyDescent="0.25">
      <c r="E398" s="1">
        <v>46046</v>
      </c>
    </row>
    <row r="399" spans="5:5" x14ac:dyDescent="0.25">
      <c r="E399" s="1">
        <v>46047</v>
      </c>
    </row>
    <row r="400" spans="5:5" x14ac:dyDescent="0.25">
      <c r="E400" s="1">
        <v>46048</v>
      </c>
    </row>
    <row r="401" spans="5:5" x14ac:dyDescent="0.25">
      <c r="E401" s="1">
        <v>46049</v>
      </c>
    </row>
    <row r="402" spans="5:5" x14ac:dyDescent="0.25">
      <c r="E402" s="1">
        <v>46050</v>
      </c>
    </row>
    <row r="403" spans="5:5" x14ac:dyDescent="0.25">
      <c r="E403" s="1">
        <v>46051</v>
      </c>
    </row>
    <row r="404" spans="5:5" x14ac:dyDescent="0.25">
      <c r="E404" s="1">
        <v>46052</v>
      </c>
    </row>
    <row r="405" spans="5:5" x14ac:dyDescent="0.25">
      <c r="E405" s="1">
        <v>46053</v>
      </c>
    </row>
    <row r="406" spans="5:5" x14ac:dyDescent="0.25">
      <c r="E406" s="1">
        <v>46054</v>
      </c>
    </row>
    <row r="407" spans="5:5" x14ac:dyDescent="0.25">
      <c r="E407" s="1">
        <v>46055</v>
      </c>
    </row>
    <row r="408" spans="5:5" x14ac:dyDescent="0.25">
      <c r="E408" s="1">
        <v>46056</v>
      </c>
    </row>
    <row r="409" spans="5:5" x14ac:dyDescent="0.25">
      <c r="E409" s="1">
        <v>46057</v>
      </c>
    </row>
    <row r="410" spans="5:5" x14ac:dyDescent="0.25">
      <c r="E410" s="1">
        <v>46058</v>
      </c>
    </row>
    <row r="411" spans="5:5" x14ac:dyDescent="0.25">
      <c r="E411" s="1">
        <v>46059</v>
      </c>
    </row>
    <row r="412" spans="5:5" x14ac:dyDescent="0.25">
      <c r="E412" s="1">
        <v>46060</v>
      </c>
    </row>
    <row r="413" spans="5:5" x14ac:dyDescent="0.25">
      <c r="E413" s="1">
        <v>46061</v>
      </c>
    </row>
    <row r="414" spans="5:5" x14ac:dyDescent="0.25">
      <c r="E414" s="1">
        <v>46062</v>
      </c>
    </row>
    <row r="415" spans="5:5" x14ac:dyDescent="0.25">
      <c r="E415" s="1">
        <v>46063</v>
      </c>
    </row>
    <row r="416" spans="5:5" x14ac:dyDescent="0.25">
      <c r="E416" s="1">
        <v>46064</v>
      </c>
    </row>
    <row r="417" spans="5:5" x14ac:dyDescent="0.25">
      <c r="E417" s="1">
        <v>46065</v>
      </c>
    </row>
    <row r="418" spans="5:5" x14ac:dyDescent="0.25">
      <c r="E418" s="1">
        <v>46066</v>
      </c>
    </row>
    <row r="419" spans="5:5" x14ac:dyDescent="0.25">
      <c r="E419" s="1">
        <v>46067</v>
      </c>
    </row>
    <row r="420" spans="5:5" x14ac:dyDescent="0.25">
      <c r="E420" s="1">
        <v>46068</v>
      </c>
    </row>
    <row r="421" spans="5:5" x14ac:dyDescent="0.25">
      <c r="E421" s="1">
        <v>46069</v>
      </c>
    </row>
    <row r="422" spans="5:5" x14ac:dyDescent="0.25">
      <c r="E422" s="1">
        <v>46070</v>
      </c>
    </row>
    <row r="423" spans="5:5" x14ac:dyDescent="0.25">
      <c r="E423" s="1">
        <v>46071</v>
      </c>
    </row>
    <row r="424" spans="5:5" x14ac:dyDescent="0.25">
      <c r="E424" s="1">
        <v>46072</v>
      </c>
    </row>
    <row r="425" spans="5:5" x14ac:dyDescent="0.25">
      <c r="E425" s="1">
        <v>46073</v>
      </c>
    </row>
    <row r="426" spans="5:5" x14ac:dyDescent="0.25">
      <c r="E426" s="1">
        <v>46074</v>
      </c>
    </row>
    <row r="427" spans="5:5" x14ac:dyDescent="0.25">
      <c r="E427" s="1">
        <v>46075</v>
      </c>
    </row>
    <row r="428" spans="5:5" x14ac:dyDescent="0.25">
      <c r="E428" s="1">
        <v>46076</v>
      </c>
    </row>
    <row r="429" spans="5:5" x14ac:dyDescent="0.25">
      <c r="E429" s="1">
        <v>46077</v>
      </c>
    </row>
    <row r="430" spans="5:5" x14ac:dyDescent="0.25">
      <c r="E430" s="1">
        <v>46078</v>
      </c>
    </row>
    <row r="431" spans="5:5" x14ac:dyDescent="0.25">
      <c r="E431" s="1">
        <v>46079</v>
      </c>
    </row>
    <row r="432" spans="5:5" x14ac:dyDescent="0.25">
      <c r="E432" s="1">
        <v>46080</v>
      </c>
    </row>
    <row r="433" spans="5:5" x14ac:dyDescent="0.25">
      <c r="E433" s="1">
        <v>46081</v>
      </c>
    </row>
    <row r="434" spans="5:5" x14ac:dyDescent="0.25">
      <c r="E434" s="1">
        <v>46082</v>
      </c>
    </row>
    <row r="435" spans="5:5" x14ac:dyDescent="0.25">
      <c r="E435" s="1">
        <v>46083</v>
      </c>
    </row>
    <row r="436" spans="5:5" x14ac:dyDescent="0.25">
      <c r="E436" s="1">
        <v>46084</v>
      </c>
    </row>
    <row r="437" spans="5:5" x14ac:dyDescent="0.25">
      <c r="E437" s="1">
        <v>46085</v>
      </c>
    </row>
    <row r="438" spans="5:5" x14ac:dyDescent="0.25">
      <c r="E438" s="1">
        <v>46086</v>
      </c>
    </row>
    <row r="439" spans="5:5" x14ac:dyDescent="0.25">
      <c r="E439" s="1">
        <v>46087</v>
      </c>
    </row>
    <row r="440" spans="5:5" x14ac:dyDescent="0.25">
      <c r="E440" s="1">
        <v>46088</v>
      </c>
    </row>
    <row r="441" spans="5:5" x14ac:dyDescent="0.25">
      <c r="E441" s="1">
        <v>46089</v>
      </c>
    </row>
    <row r="442" spans="5:5" x14ac:dyDescent="0.25">
      <c r="E442" s="1">
        <v>46090</v>
      </c>
    </row>
    <row r="443" spans="5:5" x14ac:dyDescent="0.25">
      <c r="E443" s="1">
        <v>46091</v>
      </c>
    </row>
    <row r="444" spans="5:5" x14ac:dyDescent="0.25">
      <c r="E444" s="1">
        <v>46092</v>
      </c>
    </row>
    <row r="445" spans="5:5" x14ac:dyDescent="0.25">
      <c r="E445" s="1">
        <v>46093</v>
      </c>
    </row>
    <row r="446" spans="5:5" x14ac:dyDescent="0.25">
      <c r="E446" s="1">
        <v>46094</v>
      </c>
    </row>
    <row r="447" spans="5:5" x14ac:dyDescent="0.25">
      <c r="E447" s="1">
        <v>46095</v>
      </c>
    </row>
    <row r="448" spans="5:5" x14ac:dyDescent="0.25">
      <c r="E448" s="1">
        <v>46096</v>
      </c>
    </row>
    <row r="449" spans="5:5" x14ac:dyDescent="0.25">
      <c r="E449" s="1">
        <v>46097</v>
      </c>
    </row>
    <row r="450" spans="5:5" x14ac:dyDescent="0.25">
      <c r="E450" s="1">
        <v>46098</v>
      </c>
    </row>
    <row r="451" spans="5:5" x14ac:dyDescent="0.25">
      <c r="E451" s="1">
        <v>46099</v>
      </c>
    </row>
    <row r="452" spans="5:5" x14ac:dyDescent="0.25">
      <c r="E452" s="1">
        <v>46100</v>
      </c>
    </row>
    <row r="453" spans="5:5" x14ac:dyDescent="0.25">
      <c r="E453" s="1">
        <v>46101</v>
      </c>
    </row>
    <row r="454" spans="5:5" x14ac:dyDescent="0.25">
      <c r="E454" s="1">
        <v>46102</v>
      </c>
    </row>
    <row r="455" spans="5:5" x14ac:dyDescent="0.25">
      <c r="E455" s="1">
        <v>46103</v>
      </c>
    </row>
    <row r="456" spans="5:5" x14ac:dyDescent="0.25">
      <c r="E456" s="1">
        <v>46104</v>
      </c>
    </row>
    <row r="457" spans="5:5" x14ac:dyDescent="0.25">
      <c r="E457" s="1">
        <v>46105</v>
      </c>
    </row>
    <row r="458" spans="5:5" x14ac:dyDescent="0.25">
      <c r="E458" s="1">
        <v>46106</v>
      </c>
    </row>
    <row r="459" spans="5:5" x14ac:dyDescent="0.25">
      <c r="E459" s="1">
        <v>46107</v>
      </c>
    </row>
    <row r="460" spans="5:5" x14ac:dyDescent="0.25">
      <c r="E460" s="1">
        <v>46108</v>
      </c>
    </row>
    <row r="461" spans="5:5" x14ac:dyDescent="0.25">
      <c r="E461" s="1">
        <v>46109</v>
      </c>
    </row>
    <row r="462" spans="5:5" x14ac:dyDescent="0.25">
      <c r="E462" s="1">
        <v>46110</v>
      </c>
    </row>
    <row r="463" spans="5:5" x14ac:dyDescent="0.25">
      <c r="E463" s="1">
        <v>46111</v>
      </c>
    </row>
    <row r="464" spans="5:5" x14ac:dyDescent="0.25">
      <c r="E464" s="1">
        <v>46112</v>
      </c>
    </row>
    <row r="465" spans="5:5" x14ac:dyDescent="0.25">
      <c r="E465" s="1">
        <v>46113</v>
      </c>
    </row>
    <row r="466" spans="5:5" x14ac:dyDescent="0.25">
      <c r="E466" s="1">
        <v>46114</v>
      </c>
    </row>
    <row r="467" spans="5:5" x14ac:dyDescent="0.25">
      <c r="E467" s="1">
        <v>46115</v>
      </c>
    </row>
    <row r="468" spans="5:5" x14ac:dyDescent="0.25">
      <c r="E468" s="1">
        <v>46116</v>
      </c>
    </row>
    <row r="469" spans="5:5" x14ac:dyDescent="0.25">
      <c r="E469" s="1">
        <v>46117</v>
      </c>
    </row>
    <row r="470" spans="5:5" x14ac:dyDescent="0.25">
      <c r="E470" s="1">
        <v>46118</v>
      </c>
    </row>
    <row r="471" spans="5:5" x14ac:dyDescent="0.25">
      <c r="E471" s="1">
        <v>46119</v>
      </c>
    </row>
    <row r="472" spans="5:5" x14ac:dyDescent="0.25">
      <c r="E472" s="1">
        <v>46120</v>
      </c>
    </row>
    <row r="473" spans="5:5" x14ac:dyDescent="0.25">
      <c r="E473" s="1">
        <v>46121</v>
      </c>
    </row>
    <row r="474" spans="5:5" x14ac:dyDescent="0.25">
      <c r="E474" s="1">
        <v>46122</v>
      </c>
    </row>
    <row r="475" spans="5:5" x14ac:dyDescent="0.25">
      <c r="E475" s="1">
        <v>46123</v>
      </c>
    </row>
    <row r="476" spans="5:5" x14ac:dyDescent="0.25">
      <c r="E476" s="1">
        <v>46124</v>
      </c>
    </row>
    <row r="477" spans="5:5" x14ac:dyDescent="0.25">
      <c r="E477" s="1">
        <v>46125</v>
      </c>
    </row>
    <row r="478" spans="5:5" x14ac:dyDescent="0.25">
      <c r="E478" s="1">
        <v>46126</v>
      </c>
    </row>
    <row r="479" spans="5:5" x14ac:dyDescent="0.25">
      <c r="E479" s="1">
        <v>46127</v>
      </c>
    </row>
    <row r="480" spans="5:5" x14ac:dyDescent="0.25">
      <c r="E480" s="1">
        <v>46128</v>
      </c>
    </row>
    <row r="481" spans="5:5" x14ac:dyDescent="0.25">
      <c r="E481" s="1">
        <v>46129</v>
      </c>
    </row>
    <row r="482" spans="5:5" x14ac:dyDescent="0.25">
      <c r="E482" s="1">
        <v>46130</v>
      </c>
    </row>
    <row r="483" spans="5:5" x14ac:dyDescent="0.25">
      <c r="E483" s="1">
        <v>46131</v>
      </c>
    </row>
    <row r="484" spans="5:5" x14ac:dyDescent="0.25">
      <c r="E484" s="1">
        <v>46132</v>
      </c>
    </row>
    <row r="485" spans="5:5" x14ac:dyDescent="0.25">
      <c r="E485" s="1">
        <v>46133</v>
      </c>
    </row>
    <row r="486" spans="5:5" x14ac:dyDescent="0.25">
      <c r="E486" s="1">
        <v>46134</v>
      </c>
    </row>
    <row r="487" spans="5:5" x14ac:dyDescent="0.25">
      <c r="E487" s="1">
        <v>46135</v>
      </c>
    </row>
    <row r="488" spans="5:5" x14ac:dyDescent="0.25">
      <c r="E488" s="1">
        <v>46136</v>
      </c>
    </row>
    <row r="489" spans="5:5" x14ac:dyDescent="0.25">
      <c r="E489" s="1">
        <v>46137</v>
      </c>
    </row>
    <row r="490" spans="5:5" x14ac:dyDescent="0.25">
      <c r="E490" s="1">
        <v>46138</v>
      </c>
    </row>
    <row r="491" spans="5:5" x14ac:dyDescent="0.25">
      <c r="E491" s="1">
        <v>46139</v>
      </c>
    </row>
    <row r="492" spans="5:5" x14ac:dyDescent="0.25">
      <c r="E492" s="1">
        <v>46140</v>
      </c>
    </row>
    <row r="493" spans="5:5" x14ac:dyDescent="0.25">
      <c r="E493" s="1">
        <v>46141</v>
      </c>
    </row>
    <row r="494" spans="5:5" x14ac:dyDescent="0.25">
      <c r="E494" s="1">
        <v>46142</v>
      </c>
    </row>
    <row r="495" spans="5:5" x14ac:dyDescent="0.25">
      <c r="E495" s="1">
        <v>46143</v>
      </c>
    </row>
    <row r="496" spans="5:5" x14ac:dyDescent="0.25">
      <c r="E496" s="1">
        <v>46144</v>
      </c>
    </row>
    <row r="497" spans="5:5" x14ac:dyDescent="0.25">
      <c r="E497" s="1">
        <v>46145</v>
      </c>
    </row>
    <row r="498" spans="5:5" x14ac:dyDescent="0.25">
      <c r="E498" s="1">
        <v>46146</v>
      </c>
    </row>
    <row r="499" spans="5:5" x14ac:dyDescent="0.25">
      <c r="E499" s="1">
        <v>46147</v>
      </c>
    </row>
    <row r="500" spans="5:5" x14ac:dyDescent="0.25">
      <c r="E500" s="1">
        <v>46148</v>
      </c>
    </row>
    <row r="501" spans="5:5" x14ac:dyDescent="0.25">
      <c r="E501" s="1">
        <v>46149</v>
      </c>
    </row>
    <row r="502" spans="5:5" x14ac:dyDescent="0.25">
      <c r="E502" s="1">
        <v>46150</v>
      </c>
    </row>
    <row r="503" spans="5:5" x14ac:dyDescent="0.25">
      <c r="E503" s="1">
        <v>46151</v>
      </c>
    </row>
    <row r="504" spans="5:5" x14ac:dyDescent="0.25">
      <c r="E504" s="1">
        <v>46152</v>
      </c>
    </row>
    <row r="505" spans="5:5" x14ac:dyDescent="0.25">
      <c r="E505" s="1">
        <v>46153</v>
      </c>
    </row>
    <row r="506" spans="5:5" x14ac:dyDescent="0.25">
      <c r="E506" s="1">
        <v>46154</v>
      </c>
    </row>
    <row r="507" spans="5:5" x14ac:dyDescent="0.25">
      <c r="E507" s="1">
        <v>46155</v>
      </c>
    </row>
    <row r="508" spans="5:5" x14ac:dyDescent="0.25">
      <c r="E508" s="1">
        <v>46156</v>
      </c>
    </row>
    <row r="509" spans="5:5" x14ac:dyDescent="0.25">
      <c r="E509" s="1">
        <v>46157</v>
      </c>
    </row>
    <row r="510" spans="5:5" x14ac:dyDescent="0.25">
      <c r="E510" s="1">
        <v>46158</v>
      </c>
    </row>
    <row r="511" spans="5:5" x14ac:dyDescent="0.25">
      <c r="E511" s="1">
        <v>46159</v>
      </c>
    </row>
    <row r="512" spans="5:5" x14ac:dyDescent="0.25">
      <c r="E512" s="1">
        <v>46160</v>
      </c>
    </row>
    <row r="513" spans="5:5" x14ac:dyDescent="0.25">
      <c r="E513" s="1">
        <v>46161</v>
      </c>
    </row>
    <row r="514" spans="5:5" x14ac:dyDescent="0.25">
      <c r="E514" s="1">
        <v>46162</v>
      </c>
    </row>
    <row r="515" spans="5:5" x14ac:dyDescent="0.25">
      <c r="E515" s="1">
        <v>46163</v>
      </c>
    </row>
    <row r="516" spans="5:5" x14ac:dyDescent="0.25">
      <c r="E516" s="1">
        <v>46164</v>
      </c>
    </row>
    <row r="517" spans="5:5" x14ac:dyDescent="0.25">
      <c r="E517" s="1">
        <v>46165</v>
      </c>
    </row>
    <row r="518" spans="5:5" x14ac:dyDescent="0.25">
      <c r="E518" s="1">
        <v>46166</v>
      </c>
    </row>
    <row r="519" spans="5:5" x14ac:dyDescent="0.25">
      <c r="E519" s="1">
        <v>46167</v>
      </c>
    </row>
    <row r="520" spans="5:5" x14ac:dyDescent="0.25">
      <c r="E520" s="1">
        <v>46168</v>
      </c>
    </row>
    <row r="521" spans="5:5" x14ac:dyDescent="0.25">
      <c r="E521" s="1">
        <v>46169</v>
      </c>
    </row>
    <row r="522" spans="5:5" x14ac:dyDescent="0.25">
      <c r="E522" s="1">
        <v>46170</v>
      </c>
    </row>
    <row r="523" spans="5:5" x14ac:dyDescent="0.25">
      <c r="E523" s="1">
        <v>46171</v>
      </c>
    </row>
    <row r="524" spans="5:5" x14ac:dyDescent="0.25">
      <c r="E524" s="1">
        <v>46172</v>
      </c>
    </row>
    <row r="525" spans="5:5" x14ac:dyDescent="0.25">
      <c r="E525" s="1">
        <v>46173</v>
      </c>
    </row>
    <row r="526" spans="5:5" x14ac:dyDescent="0.25">
      <c r="E526" s="1">
        <v>46174</v>
      </c>
    </row>
    <row r="527" spans="5:5" x14ac:dyDescent="0.25">
      <c r="E527" s="1">
        <v>46175</v>
      </c>
    </row>
    <row r="528" spans="5:5" x14ac:dyDescent="0.25">
      <c r="E528" s="1">
        <v>46176</v>
      </c>
    </row>
    <row r="529" spans="5:5" x14ac:dyDescent="0.25">
      <c r="E529" s="1">
        <v>46177</v>
      </c>
    </row>
    <row r="530" spans="5:5" x14ac:dyDescent="0.25">
      <c r="E530" s="1">
        <v>46178</v>
      </c>
    </row>
    <row r="531" spans="5:5" x14ac:dyDescent="0.25">
      <c r="E531" s="1">
        <v>46179</v>
      </c>
    </row>
    <row r="532" spans="5:5" x14ac:dyDescent="0.25">
      <c r="E532" s="1">
        <v>46180</v>
      </c>
    </row>
    <row r="533" spans="5:5" x14ac:dyDescent="0.25">
      <c r="E533" s="1">
        <v>46181</v>
      </c>
    </row>
    <row r="534" spans="5:5" x14ac:dyDescent="0.25">
      <c r="E534" s="1">
        <v>46182</v>
      </c>
    </row>
    <row r="535" spans="5:5" x14ac:dyDescent="0.25">
      <c r="E535" s="1">
        <v>46183</v>
      </c>
    </row>
    <row r="536" spans="5:5" x14ac:dyDescent="0.25">
      <c r="E536" s="1">
        <v>46184</v>
      </c>
    </row>
    <row r="537" spans="5:5" x14ac:dyDescent="0.25">
      <c r="E537" s="1">
        <v>46185</v>
      </c>
    </row>
    <row r="538" spans="5:5" x14ac:dyDescent="0.25">
      <c r="E538" s="1">
        <v>46186</v>
      </c>
    </row>
    <row r="539" spans="5:5" x14ac:dyDescent="0.25">
      <c r="E539" s="1">
        <v>46187</v>
      </c>
    </row>
    <row r="540" spans="5:5" x14ac:dyDescent="0.25">
      <c r="E540" s="1">
        <v>46188</v>
      </c>
    </row>
    <row r="541" spans="5:5" x14ac:dyDescent="0.25">
      <c r="E541" s="1">
        <v>46189</v>
      </c>
    </row>
    <row r="542" spans="5:5" x14ac:dyDescent="0.25">
      <c r="E542" s="1">
        <v>46190</v>
      </c>
    </row>
    <row r="543" spans="5:5" x14ac:dyDescent="0.25">
      <c r="E543" s="1">
        <v>46191</v>
      </c>
    </row>
    <row r="544" spans="5:5" x14ac:dyDescent="0.25">
      <c r="E544" s="1">
        <v>46192</v>
      </c>
    </row>
    <row r="545" spans="5:5" x14ac:dyDescent="0.25">
      <c r="E545" s="1">
        <v>46193</v>
      </c>
    </row>
    <row r="546" spans="5:5" x14ac:dyDescent="0.25">
      <c r="E546" s="1">
        <v>46194</v>
      </c>
    </row>
    <row r="547" spans="5:5" x14ac:dyDescent="0.25">
      <c r="E547" s="1">
        <v>46195</v>
      </c>
    </row>
    <row r="548" spans="5:5" x14ac:dyDescent="0.25">
      <c r="E548" s="1">
        <v>46196</v>
      </c>
    </row>
    <row r="549" spans="5:5" x14ac:dyDescent="0.25">
      <c r="E549" s="1">
        <v>46197</v>
      </c>
    </row>
    <row r="550" spans="5:5" x14ac:dyDescent="0.25">
      <c r="E550" s="1">
        <v>46198</v>
      </c>
    </row>
    <row r="551" spans="5:5" x14ac:dyDescent="0.25">
      <c r="E551" s="1">
        <v>46199</v>
      </c>
    </row>
    <row r="552" spans="5:5" x14ac:dyDescent="0.25">
      <c r="E552" s="1">
        <v>46200</v>
      </c>
    </row>
    <row r="553" spans="5:5" x14ac:dyDescent="0.25">
      <c r="E553" s="1">
        <v>46201</v>
      </c>
    </row>
    <row r="554" spans="5:5" x14ac:dyDescent="0.25">
      <c r="E554" s="1">
        <v>46202</v>
      </c>
    </row>
    <row r="555" spans="5:5" x14ac:dyDescent="0.25">
      <c r="E555" s="1">
        <v>46203</v>
      </c>
    </row>
    <row r="556" spans="5:5" x14ac:dyDescent="0.25">
      <c r="E556" s="1">
        <v>46204</v>
      </c>
    </row>
    <row r="557" spans="5:5" x14ac:dyDescent="0.25">
      <c r="E557" s="1">
        <v>46205</v>
      </c>
    </row>
    <row r="558" spans="5:5" x14ac:dyDescent="0.25">
      <c r="E558" s="1">
        <v>46206</v>
      </c>
    </row>
    <row r="559" spans="5:5" x14ac:dyDescent="0.25">
      <c r="E559" s="1">
        <v>46207</v>
      </c>
    </row>
    <row r="560" spans="5:5" x14ac:dyDescent="0.25">
      <c r="E560" s="1">
        <v>46208</v>
      </c>
    </row>
    <row r="561" spans="5:5" x14ac:dyDescent="0.25">
      <c r="E561" s="1">
        <v>46209</v>
      </c>
    </row>
    <row r="562" spans="5:5" x14ac:dyDescent="0.25">
      <c r="E562" s="1">
        <v>46210</v>
      </c>
    </row>
    <row r="563" spans="5:5" x14ac:dyDescent="0.25">
      <c r="E563" s="1">
        <v>46211</v>
      </c>
    </row>
    <row r="564" spans="5:5" x14ac:dyDescent="0.25">
      <c r="E564" s="1">
        <v>46212</v>
      </c>
    </row>
    <row r="565" spans="5:5" x14ac:dyDescent="0.25">
      <c r="E565" s="1">
        <v>46213</v>
      </c>
    </row>
    <row r="566" spans="5:5" x14ac:dyDescent="0.25">
      <c r="E566" s="1">
        <v>46214</v>
      </c>
    </row>
    <row r="567" spans="5:5" x14ac:dyDescent="0.25">
      <c r="E567" s="1">
        <v>46215</v>
      </c>
    </row>
    <row r="568" spans="5:5" x14ac:dyDescent="0.25">
      <c r="E568" s="1">
        <v>46216</v>
      </c>
    </row>
    <row r="569" spans="5:5" x14ac:dyDescent="0.25">
      <c r="E569" s="1">
        <v>46217</v>
      </c>
    </row>
    <row r="570" spans="5:5" x14ac:dyDescent="0.25">
      <c r="E570" s="1">
        <v>46218</v>
      </c>
    </row>
    <row r="571" spans="5:5" x14ac:dyDescent="0.25">
      <c r="E571" s="1">
        <v>46219</v>
      </c>
    </row>
    <row r="572" spans="5:5" x14ac:dyDescent="0.25">
      <c r="E572" s="1">
        <v>46220</v>
      </c>
    </row>
    <row r="573" spans="5:5" x14ac:dyDescent="0.25">
      <c r="E573" s="1">
        <v>46221</v>
      </c>
    </row>
    <row r="574" spans="5:5" x14ac:dyDescent="0.25">
      <c r="E574" s="1">
        <v>46222</v>
      </c>
    </row>
    <row r="575" spans="5:5" x14ac:dyDescent="0.25">
      <c r="E575" s="1">
        <v>46223</v>
      </c>
    </row>
    <row r="576" spans="5:5" x14ac:dyDescent="0.25">
      <c r="E576" s="1">
        <v>46224</v>
      </c>
    </row>
    <row r="577" spans="5:5" x14ac:dyDescent="0.25">
      <c r="E577" s="1">
        <v>46225</v>
      </c>
    </row>
    <row r="578" spans="5:5" x14ac:dyDescent="0.25">
      <c r="E578" s="1">
        <v>46226</v>
      </c>
    </row>
    <row r="579" spans="5:5" x14ac:dyDescent="0.25">
      <c r="E579" s="1">
        <v>46227</v>
      </c>
    </row>
    <row r="580" spans="5:5" x14ac:dyDescent="0.25">
      <c r="E580" s="1">
        <v>46228</v>
      </c>
    </row>
    <row r="581" spans="5:5" x14ac:dyDescent="0.25">
      <c r="E581" s="1">
        <v>46229</v>
      </c>
    </row>
    <row r="582" spans="5:5" x14ac:dyDescent="0.25">
      <c r="E582" s="1">
        <v>46230</v>
      </c>
    </row>
    <row r="583" spans="5:5" x14ac:dyDescent="0.25">
      <c r="E583" s="1">
        <v>46231</v>
      </c>
    </row>
    <row r="584" spans="5:5" x14ac:dyDescent="0.25">
      <c r="E584" s="1">
        <v>46232</v>
      </c>
    </row>
    <row r="585" spans="5:5" x14ac:dyDescent="0.25">
      <c r="E585" s="1">
        <v>46233</v>
      </c>
    </row>
    <row r="586" spans="5:5" x14ac:dyDescent="0.25">
      <c r="E586" s="1">
        <v>46234</v>
      </c>
    </row>
    <row r="587" spans="5:5" x14ac:dyDescent="0.25">
      <c r="E587" s="1">
        <v>46235</v>
      </c>
    </row>
    <row r="588" spans="5:5" x14ac:dyDescent="0.25">
      <c r="E588" s="1">
        <v>46236</v>
      </c>
    </row>
    <row r="589" spans="5:5" x14ac:dyDescent="0.25">
      <c r="E589" s="1">
        <v>46237</v>
      </c>
    </row>
    <row r="590" spans="5:5" x14ac:dyDescent="0.25">
      <c r="E590" s="1">
        <v>46238</v>
      </c>
    </row>
    <row r="591" spans="5:5" x14ac:dyDescent="0.25">
      <c r="E591" s="1">
        <v>46239</v>
      </c>
    </row>
    <row r="592" spans="5:5" x14ac:dyDescent="0.25">
      <c r="E592" s="1">
        <v>46240</v>
      </c>
    </row>
    <row r="593" spans="5:5" x14ac:dyDescent="0.25">
      <c r="E593" s="1">
        <v>46241</v>
      </c>
    </row>
    <row r="594" spans="5:5" x14ac:dyDescent="0.25">
      <c r="E594" s="1">
        <v>46242</v>
      </c>
    </row>
    <row r="595" spans="5:5" x14ac:dyDescent="0.25">
      <c r="E595" s="1">
        <v>46243</v>
      </c>
    </row>
    <row r="596" spans="5:5" x14ac:dyDescent="0.25">
      <c r="E596" s="1">
        <v>46244</v>
      </c>
    </row>
    <row r="597" spans="5:5" x14ac:dyDescent="0.25">
      <c r="E597" s="1">
        <v>46245</v>
      </c>
    </row>
    <row r="598" spans="5:5" x14ac:dyDescent="0.25">
      <c r="E598" s="1">
        <v>46246</v>
      </c>
    </row>
    <row r="599" spans="5:5" x14ac:dyDescent="0.25">
      <c r="E599" s="1">
        <v>46247</v>
      </c>
    </row>
    <row r="600" spans="5:5" x14ac:dyDescent="0.25">
      <c r="E600" s="1">
        <v>46248</v>
      </c>
    </row>
    <row r="601" spans="5:5" x14ac:dyDescent="0.25">
      <c r="E601" s="1">
        <v>46249</v>
      </c>
    </row>
    <row r="602" spans="5:5" x14ac:dyDescent="0.25">
      <c r="E602" s="1">
        <v>46250</v>
      </c>
    </row>
    <row r="603" spans="5:5" x14ac:dyDescent="0.25">
      <c r="E603" s="1">
        <v>46251</v>
      </c>
    </row>
    <row r="604" spans="5:5" x14ac:dyDescent="0.25">
      <c r="E604" s="1">
        <v>46252</v>
      </c>
    </row>
    <row r="605" spans="5:5" x14ac:dyDescent="0.25">
      <c r="E605" s="1">
        <v>46253</v>
      </c>
    </row>
    <row r="606" spans="5:5" x14ac:dyDescent="0.25">
      <c r="E606" s="1">
        <v>46254</v>
      </c>
    </row>
    <row r="607" spans="5:5" x14ac:dyDescent="0.25">
      <c r="E607" s="1">
        <v>46255</v>
      </c>
    </row>
    <row r="608" spans="5:5" x14ac:dyDescent="0.25">
      <c r="E608" s="1">
        <v>46256</v>
      </c>
    </row>
    <row r="609" spans="5:5" x14ac:dyDescent="0.25">
      <c r="E609" s="1">
        <v>46257</v>
      </c>
    </row>
    <row r="610" spans="5:5" x14ac:dyDescent="0.25">
      <c r="E610" s="1">
        <v>46258</v>
      </c>
    </row>
    <row r="611" spans="5:5" x14ac:dyDescent="0.25">
      <c r="E611" s="1">
        <v>46259</v>
      </c>
    </row>
    <row r="612" spans="5:5" x14ac:dyDescent="0.25">
      <c r="E612" s="1">
        <v>46260</v>
      </c>
    </row>
    <row r="613" spans="5:5" x14ac:dyDescent="0.25">
      <c r="E613" s="1">
        <v>46261</v>
      </c>
    </row>
    <row r="614" spans="5:5" x14ac:dyDescent="0.25">
      <c r="E614" s="1">
        <v>46262</v>
      </c>
    </row>
    <row r="615" spans="5:5" x14ac:dyDescent="0.25">
      <c r="E615" s="1">
        <v>46263</v>
      </c>
    </row>
    <row r="616" spans="5:5" x14ac:dyDescent="0.25">
      <c r="E616" s="1">
        <v>46264</v>
      </c>
    </row>
    <row r="617" spans="5:5" x14ac:dyDescent="0.25">
      <c r="E617" s="1">
        <v>46265</v>
      </c>
    </row>
    <row r="618" spans="5:5" x14ac:dyDescent="0.25">
      <c r="E618" s="1">
        <v>46266</v>
      </c>
    </row>
    <row r="619" spans="5:5" x14ac:dyDescent="0.25">
      <c r="E619" s="1">
        <v>46267</v>
      </c>
    </row>
    <row r="620" spans="5:5" x14ac:dyDescent="0.25">
      <c r="E620" s="1">
        <v>46268</v>
      </c>
    </row>
    <row r="621" spans="5:5" x14ac:dyDescent="0.25">
      <c r="E621" s="1">
        <v>46269</v>
      </c>
    </row>
    <row r="622" spans="5:5" x14ac:dyDescent="0.25">
      <c r="E622" s="1">
        <v>46270</v>
      </c>
    </row>
    <row r="623" spans="5:5" x14ac:dyDescent="0.25">
      <c r="E623" s="1">
        <v>46271</v>
      </c>
    </row>
    <row r="624" spans="5:5" x14ac:dyDescent="0.25">
      <c r="E624" s="1">
        <v>46272</v>
      </c>
    </row>
    <row r="625" spans="5:5" x14ac:dyDescent="0.25">
      <c r="E625" s="1">
        <v>46273</v>
      </c>
    </row>
    <row r="626" spans="5:5" x14ac:dyDescent="0.25">
      <c r="E626" s="1">
        <v>46274</v>
      </c>
    </row>
    <row r="627" spans="5:5" x14ac:dyDescent="0.25">
      <c r="E627" s="1">
        <v>46275</v>
      </c>
    </row>
    <row r="628" spans="5:5" x14ac:dyDescent="0.25">
      <c r="E628" s="1">
        <v>46276</v>
      </c>
    </row>
    <row r="629" spans="5:5" x14ac:dyDescent="0.25">
      <c r="E629" s="1">
        <v>46277</v>
      </c>
    </row>
    <row r="630" spans="5:5" x14ac:dyDescent="0.25">
      <c r="E630" s="1">
        <v>46278</v>
      </c>
    </row>
    <row r="631" spans="5:5" x14ac:dyDescent="0.25">
      <c r="E631" s="1">
        <v>46279</v>
      </c>
    </row>
    <row r="632" spans="5:5" x14ac:dyDescent="0.25">
      <c r="E632" s="1">
        <v>46280</v>
      </c>
    </row>
    <row r="633" spans="5:5" x14ac:dyDescent="0.25">
      <c r="E633" s="1">
        <v>46281</v>
      </c>
    </row>
    <row r="634" spans="5:5" x14ac:dyDescent="0.25">
      <c r="E634" s="1">
        <v>46282</v>
      </c>
    </row>
    <row r="635" spans="5:5" x14ac:dyDescent="0.25">
      <c r="E635" s="1">
        <v>46283</v>
      </c>
    </row>
    <row r="636" spans="5:5" x14ac:dyDescent="0.25">
      <c r="E636" s="1">
        <v>46284</v>
      </c>
    </row>
    <row r="637" spans="5:5" x14ac:dyDescent="0.25">
      <c r="E637" s="1">
        <v>46285</v>
      </c>
    </row>
    <row r="638" spans="5:5" x14ac:dyDescent="0.25">
      <c r="E638" s="1">
        <v>46286</v>
      </c>
    </row>
    <row r="639" spans="5:5" x14ac:dyDescent="0.25">
      <c r="E639" s="1">
        <v>46287</v>
      </c>
    </row>
    <row r="640" spans="5:5" x14ac:dyDescent="0.25">
      <c r="E640" s="1">
        <v>46288</v>
      </c>
    </row>
    <row r="641" spans="5:5" x14ac:dyDescent="0.25">
      <c r="E641" s="1">
        <v>46289</v>
      </c>
    </row>
    <row r="642" spans="5:5" x14ac:dyDescent="0.25">
      <c r="E642" s="1">
        <v>46290</v>
      </c>
    </row>
    <row r="643" spans="5:5" x14ac:dyDescent="0.25">
      <c r="E643" s="1">
        <v>46291</v>
      </c>
    </row>
    <row r="644" spans="5:5" x14ac:dyDescent="0.25">
      <c r="E644" s="1">
        <v>46292</v>
      </c>
    </row>
    <row r="645" spans="5:5" x14ac:dyDescent="0.25">
      <c r="E645" s="1">
        <v>46293</v>
      </c>
    </row>
    <row r="646" spans="5:5" x14ac:dyDescent="0.25">
      <c r="E646" s="1">
        <v>46294</v>
      </c>
    </row>
    <row r="647" spans="5:5" x14ac:dyDescent="0.25">
      <c r="E647" s="1">
        <v>46295</v>
      </c>
    </row>
    <row r="648" spans="5:5" x14ac:dyDescent="0.25">
      <c r="E648" s="1">
        <v>46296</v>
      </c>
    </row>
    <row r="649" spans="5:5" x14ac:dyDescent="0.25">
      <c r="E649" s="1">
        <v>46297</v>
      </c>
    </row>
    <row r="650" spans="5:5" x14ac:dyDescent="0.25">
      <c r="E650" s="1">
        <v>46298</v>
      </c>
    </row>
    <row r="651" spans="5:5" x14ac:dyDescent="0.25">
      <c r="E651" s="1">
        <v>46299</v>
      </c>
    </row>
    <row r="652" spans="5:5" x14ac:dyDescent="0.25">
      <c r="E652" s="1">
        <v>46300</v>
      </c>
    </row>
    <row r="653" spans="5:5" x14ac:dyDescent="0.25">
      <c r="E653" s="1">
        <v>46301</v>
      </c>
    </row>
    <row r="654" spans="5:5" x14ac:dyDescent="0.25">
      <c r="E654" s="1">
        <v>46302</v>
      </c>
    </row>
    <row r="655" spans="5:5" x14ac:dyDescent="0.25">
      <c r="E655" s="1">
        <v>46303</v>
      </c>
    </row>
    <row r="656" spans="5:5" x14ac:dyDescent="0.25">
      <c r="E656" s="1">
        <v>46304</v>
      </c>
    </row>
    <row r="657" spans="5:5" x14ac:dyDescent="0.25">
      <c r="E657" s="1">
        <v>46305</v>
      </c>
    </row>
    <row r="658" spans="5:5" x14ac:dyDescent="0.25">
      <c r="E658" s="1">
        <v>46306</v>
      </c>
    </row>
    <row r="659" spans="5:5" x14ac:dyDescent="0.25">
      <c r="E659" s="1">
        <v>46307</v>
      </c>
    </row>
    <row r="660" spans="5:5" x14ac:dyDescent="0.25">
      <c r="E660" s="1">
        <v>46308</v>
      </c>
    </row>
    <row r="661" spans="5:5" x14ac:dyDescent="0.25">
      <c r="E661" s="1">
        <v>46309</v>
      </c>
    </row>
    <row r="662" spans="5:5" x14ac:dyDescent="0.25">
      <c r="E662" s="1">
        <v>46310</v>
      </c>
    </row>
    <row r="663" spans="5:5" x14ac:dyDescent="0.25">
      <c r="E663" s="1">
        <v>46311</v>
      </c>
    </row>
    <row r="664" spans="5:5" x14ac:dyDescent="0.25">
      <c r="E664" s="1">
        <v>46312</v>
      </c>
    </row>
    <row r="665" spans="5:5" x14ac:dyDescent="0.25">
      <c r="E665" s="1">
        <v>46313</v>
      </c>
    </row>
    <row r="666" spans="5:5" x14ac:dyDescent="0.25">
      <c r="E666" s="1">
        <v>46314</v>
      </c>
    </row>
    <row r="667" spans="5:5" x14ac:dyDescent="0.25">
      <c r="E667" s="1">
        <v>46315</v>
      </c>
    </row>
    <row r="668" spans="5:5" x14ac:dyDescent="0.25">
      <c r="E668" s="1">
        <v>46316</v>
      </c>
    </row>
    <row r="669" spans="5:5" x14ac:dyDescent="0.25">
      <c r="E669" s="1">
        <v>46317</v>
      </c>
    </row>
    <row r="670" spans="5:5" x14ac:dyDescent="0.25">
      <c r="E670" s="1">
        <v>46318</v>
      </c>
    </row>
    <row r="671" spans="5:5" x14ac:dyDescent="0.25">
      <c r="E671" s="1">
        <v>46319</v>
      </c>
    </row>
    <row r="672" spans="5:5" x14ac:dyDescent="0.25">
      <c r="E672" s="1">
        <v>46320</v>
      </c>
    </row>
    <row r="673" spans="5:5" x14ac:dyDescent="0.25">
      <c r="E673" s="1">
        <v>46321</v>
      </c>
    </row>
    <row r="674" spans="5:5" x14ac:dyDescent="0.25">
      <c r="E674" s="1">
        <v>46322</v>
      </c>
    </row>
    <row r="675" spans="5:5" x14ac:dyDescent="0.25">
      <c r="E675" s="1">
        <v>46323</v>
      </c>
    </row>
    <row r="676" spans="5:5" x14ac:dyDescent="0.25">
      <c r="E676" s="1">
        <v>46324</v>
      </c>
    </row>
    <row r="677" spans="5:5" x14ac:dyDescent="0.25">
      <c r="E677" s="1">
        <v>46325</v>
      </c>
    </row>
    <row r="678" spans="5:5" x14ac:dyDescent="0.25">
      <c r="E678" s="1">
        <v>46326</v>
      </c>
    </row>
    <row r="679" spans="5:5" x14ac:dyDescent="0.25">
      <c r="E679" s="1">
        <v>46327</v>
      </c>
    </row>
    <row r="680" spans="5:5" x14ac:dyDescent="0.25">
      <c r="E680" s="1">
        <v>46328</v>
      </c>
    </row>
    <row r="681" spans="5:5" x14ac:dyDescent="0.25">
      <c r="E681" s="1">
        <v>46329</v>
      </c>
    </row>
    <row r="682" spans="5:5" x14ac:dyDescent="0.25">
      <c r="E682" s="1">
        <v>46330</v>
      </c>
    </row>
    <row r="683" spans="5:5" x14ac:dyDescent="0.25">
      <c r="E683" s="1">
        <v>46331</v>
      </c>
    </row>
    <row r="684" spans="5:5" x14ac:dyDescent="0.25">
      <c r="E684" s="1">
        <v>46332</v>
      </c>
    </row>
    <row r="685" spans="5:5" x14ac:dyDescent="0.25">
      <c r="E685" s="1">
        <v>46333</v>
      </c>
    </row>
    <row r="686" spans="5:5" x14ac:dyDescent="0.25">
      <c r="E686" s="1">
        <v>46334</v>
      </c>
    </row>
    <row r="687" spans="5:5" x14ac:dyDescent="0.25">
      <c r="E687" s="1">
        <v>46335</v>
      </c>
    </row>
    <row r="688" spans="5:5" x14ac:dyDescent="0.25">
      <c r="E688" s="1">
        <v>46336</v>
      </c>
    </row>
    <row r="689" spans="5:5" x14ac:dyDescent="0.25">
      <c r="E689" s="1">
        <v>46337</v>
      </c>
    </row>
    <row r="690" spans="5:5" x14ac:dyDescent="0.25">
      <c r="E690" s="1">
        <v>46338</v>
      </c>
    </row>
    <row r="691" spans="5:5" x14ac:dyDescent="0.25">
      <c r="E691" s="1">
        <v>46339</v>
      </c>
    </row>
    <row r="692" spans="5:5" x14ac:dyDescent="0.25">
      <c r="E692" s="1">
        <v>46340</v>
      </c>
    </row>
    <row r="693" spans="5:5" x14ac:dyDescent="0.25">
      <c r="E693" s="1">
        <v>46341</v>
      </c>
    </row>
    <row r="694" spans="5:5" x14ac:dyDescent="0.25">
      <c r="E694" s="1">
        <v>46342</v>
      </c>
    </row>
    <row r="695" spans="5:5" x14ac:dyDescent="0.25">
      <c r="E695" s="1">
        <v>46343</v>
      </c>
    </row>
    <row r="696" spans="5:5" x14ac:dyDescent="0.25">
      <c r="E696" s="1">
        <v>46344</v>
      </c>
    </row>
    <row r="697" spans="5:5" x14ac:dyDescent="0.25">
      <c r="E697" s="1">
        <v>46345</v>
      </c>
    </row>
    <row r="698" spans="5:5" x14ac:dyDescent="0.25">
      <c r="E698" s="1">
        <v>46346</v>
      </c>
    </row>
    <row r="699" spans="5:5" x14ac:dyDescent="0.25">
      <c r="E699" s="1">
        <v>46347</v>
      </c>
    </row>
    <row r="700" spans="5:5" x14ac:dyDescent="0.25">
      <c r="E700" s="1">
        <v>46348</v>
      </c>
    </row>
    <row r="701" spans="5:5" x14ac:dyDescent="0.25">
      <c r="E701" s="1">
        <v>46349</v>
      </c>
    </row>
    <row r="702" spans="5:5" x14ac:dyDescent="0.25">
      <c r="E702" s="1">
        <v>46350</v>
      </c>
    </row>
    <row r="703" spans="5:5" x14ac:dyDescent="0.25">
      <c r="E703" s="1">
        <v>46351</v>
      </c>
    </row>
    <row r="704" spans="5:5" x14ac:dyDescent="0.25">
      <c r="E704" s="1">
        <v>46352</v>
      </c>
    </row>
    <row r="705" spans="5:5" x14ac:dyDescent="0.25">
      <c r="E705" s="1">
        <v>46353</v>
      </c>
    </row>
    <row r="706" spans="5:5" x14ac:dyDescent="0.25">
      <c r="E706" s="1">
        <v>46354</v>
      </c>
    </row>
    <row r="707" spans="5:5" x14ac:dyDescent="0.25">
      <c r="E707" s="1">
        <v>46355</v>
      </c>
    </row>
    <row r="708" spans="5:5" x14ac:dyDescent="0.25">
      <c r="E708" s="1">
        <v>46356</v>
      </c>
    </row>
    <row r="709" spans="5:5" x14ac:dyDescent="0.25">
      <c r="E709" s="1">
        <v>46357</v>
      </c>
    </row>
    <row r="710" spans="5:5" x14ac:dyDescent="0.25">
      <c r="E710" s="1">
        <v>46358</v>
      </c>
    </row>
    <row r="711" spans="5:5" x14ac:dyDescent="0.25">
      <c r="E711" s="1">
        <v>46359</v>
      </c>
    </row>
    <row r="712" spans="5:5" x14ac:dyDescent="0.25">
      <c r="E712" s="1">
        <v>46360</v>
      </c>
    </row>
    <row r="713" spans="5:5" x14ac:dyDescent="0.25">
      <c r="E713" s="1">
        <v>46361</v>
      </c>
    </row>
    <row r="714" spans="5:5" x14ac:dyDescent="0.25">
      <c r="E714" s="1">
        <v>46362</v>
      </c>
    </row>
    <row r="715" spans="5:5" x14ac:dyDescent="0.25">
      <c r="E715" s="1">
        <v>46363</v>
      </c>
    </row>
    <row r="716" spans="5:5" x14ac:dyDescent="0.25">
      <c r="E716" s="1">
        <v>46364</v>
      </c>
    </row>
    <row r="717" spans="5:5" x14ac:dyDescent="0.25">
      <c r="E717" s="1">
        <v>46365</v>
      </c>
    </row>
    <row r="718" spans="5:5" x14ac:dyDescent="0.25">
      <c r="E718" s="1">
        <v>46366</v>
      </c>
    </row>
    <row r="719" spans="5:5" x14ac:dyDescent="0.25">
      <c r="E719" s="1">
        <v>46367</v>
      </c>
    </row>
    <row r="720" spans="5:5" x14ac:dyDescent="0.25">
      <c r="E720" s="1">
        <v>46368</v>
      </c>
    </row>
    <row r="721" spans="5:5" x14ac:dyDescent="0.25">
      <c r="E721" s="1">
        <v>46369</v>
      </c>
    </row>
    <row r="722" spans="5:5" x14ac:dyDescent="0.25">
      <c r="E722" s="1">
        <v>46370</v>
      </c>
    </row>
    <row r="723" spans="5:5" x14ac:dyDescent="0.25">
      <c r="E723" s="1">
        <v>46371</v>
      </c>
    </row>
    <row r="724" spans="5:5" x14ac:dyDescent="0.25">
      <c r="E724" s="1">
        <v>46372</v>
      </c>
    </row>
    <row r="725" spans="5:5" x14ac:dyDescent="0.25">
      <c r="E725" s="1">
        <v>46373</v>
      </c>
    </row>
    <row r="726" spans="5:5" x14ac:dyDescent="0.25">
      <c r="E726" s="1">
        <v>46374</v>
      </c>
    </row>
    <row r="727" spans="5:5" x14ac:dyDescent="0.25">
      <c r="E727" s="1">
        <v>46375</v>
      </c>
    </row>
    <row r="728" spans="5:5" x14ac:dyDescent="0.25">
      <c r="E728" s="1">
        <v>46376</v>
      </c>
    </row>
    <row r="729" spans="5:5" x14ac:dyDescent="0.25">
      <c r="E729" s="1">
        <v>46377</v>
      </c>
    </row>
    <row r="730" spans="5:5" x14ac:dyDescent="0.25">
      <c r="E730" s="1">
        <v>46378</v>
      </c>
    </row>
    <row r="731" spans="5:5" x14ac:dyDescent="0.25">
      <c r="E731" s="1">
        <v>46379</v>
      </c>
    </row>
    <row r="732" spans="5:5" x14ac:dyDescent="0.25">
      <c r="E732" s="1">
        <v>46380</v>
      </c>
    </row>
    <row r="733" spans="5:5" x14ac:dyDescent="0.25">
      <c r="E733" s="1">
        <v>46381</v>
      </c>
    </row>
    <row r="734" spans="5:5" x14ac:dyDescent="0.25">
      <c r="E734" s="1">
        <v>46382</v>
      </c>
    </row>
    <row r="735" spans="5:5" x14ac:dyDescent="0.25">
      <c r="E735" s="1">
        <v>46383</v>
      </c>
    </row>
    <row r="736" spans="5:5" x14ac:dyDescent="0.25">
      <c r="E736" s="1">
        <v>46384</v>
      </c>
    </row>
    <row r="737" spans="5:5" x14ac:dyDescent="0.25">
      <c r="E737" s="1">
        <v>46385</v>
      </c>
    </row>
    <row r="738" spans="5:5" x14ac:dyDescent="0.25">
      <c r="E738" s="1">
        <v>46386</v>
      </c>
    </row>
    <row r="739" spans="5:5" x14ac:dyDescent="0.25">
      <c r="E739" s="1">
        <v>46387</v>
      </c>
    </row>
    <row r="740" spans="5:5" x14ac:dyDescent="0.25">
      <c r="E740" s="1">
        <v>46388</v>
      </c>
    </row>
    <row r="741" spans="5:5" x14ac:dyDescent="0.25">
      <c r="E741" s="1">
        <v>46389</v>
      </c>
    </row>
    <row r="742" spans="5:5" x14ac:dyDescent="0.25">
      <c r="E742" s="1">
        <v>46390</v>
      </c>
    </row>
    <row r="743" spans="5:5" x14ac:dyDescent="0.25">
      <c r="E743" s="1">
        <v>46391</v>
      </c>
    </row>
    <row r="744" spans="5:5" x14ac:dyDescent="0.25">
      <c r="E744" s="1">
        <v>46392</v>
      </c>
    </row>
    <row r="745" spans="5:5" x14ac:dyDescent="0.25">
      <c r="E745" s="1">
        <v>46393</v>
      </c>
    </row>
    <row r="746" spans="5:5" x14ac:dyDescent="0.25">
      <c r="E746" s="1">
        <v>46394</v>
      </c>
    </row>
    <row r="747" spans="5:5" x14ac:dyDescent="0.25">
      <c r="E747" s="1">
        <v>46395</v>
      </c>
    </row>
    <row r="748" spans="5:5" x14ac:dyDescent="0.25">
      <c r="E748" s="1">
        <v>46396</v>
      </c>
    </row>
    <row r="749" spans="5:5" x14ac:dyDescent="0.25">
      <c r="E749" s="1">
        <v>46397</v>
      </c>
    </row>
    <row r="750" spans="5:5" x14ac:dyDescent="0.25">
      <c r="E750" s="1">
        <v>46398</v>
      </c>
    </row>
    <row r="751" spans="5:5" x14ac:dyDescent="0.25">
      <c r="E751" s="1">
        <v>46399</v>
      </c>
    </row>
    <row r="752" spans="5:5" x14ac:dyDescent="0.25">
      <c r="E752" s="1">
        <v>46400</v>
      </c>
    </row>
    <row r="753" spans="5:6" x14ac:dyDescent="0.25">
      <c r="E753" s="1">
        <v>46401</v>
      </c>
    </row>
    <row r="754" spans="5:6" x14ac:dyDescent="0.25">
      <c r="E754" s="1">
        <v>46402</v>
      </c>
    </row>
    <row r="755" spans="5:6" x14ac:dyDescent="0.25">
      <c r="E755" s="1">
        <v>46403</v>
      </c>
    </row>
    <row r="756" spans="5:6" x14ac:dyDescent="0.25">
      <c r="E756" s="1">
        <v>46404</v>
      </c>
    </row>
    <row r="757" spans="5:6" x14ac:dyDescent="0.25">
      <c r="E757" s="1">
        <v>46405</v>
      </c>
    </row>
    <row r="758" spans="5:6" x14ac:dyDescent="0.25">
      <c r="E758" s="1">
        <v>46406</v>
      </c>
    </row>
    <row r="759" spans="5:6" x14ac:dyDescent="0.25">
      <c r="E759" s="1">
        <v>46407</v>
      </c>
      <c r="F759">
        <v>212</v>
      </c>
    </row>
    <row r="760" spans="5:6" x14ac:dyDescent="0.25">
      <c r="E760" s="1">
        <v>46408</v>
      </c>
    </row>
    <row r="761" spans="5:6" x14ac:dyDescent="0.25">
      <c r="E761" s="1">
        <v>46409</v>
      </c>
    </row>
    <row r="762" spans="5:6" x14ac:dyDescent="0.25">
      <c r="E762" s="1">
        <v>46410</v>
      </c>
    </row>
    <row r="763" spans="5:6" x14ac:dyDescent="0.25">
      <c r="E763" s="1">
        <v>46411</v>
      </c>
    </row>
    <row r="764" spans="5:6" x14ac:dyDescent="0.25">
      <c r="E764" s="1">
        <v>46412</v>
      </c>
    </row>
    <row r="765" spans="5:6" x14ac:dyDescent="0.25">
      <c r="E765" s="1">
        <v>46413</v>
      </c>
    </row>
    <row r="766" spans="5:6" x14ac:dyDescent="0.25">
      <c r="E766" s="1">
        <v>46414</v>
      </c>
    </row>
    <row r="767" spans="5:6" x14ac:dyDescent="0.25">
      <c r="E767" s="1">
        <v>46415</v>
      </c>
    </row>
    <row r="768" spans="5:6" x14ac:dyDescent="0.25">
      <c r="E768" s="1">
        <v>46416</v>
      </c>
    </row>
    <row r="769" spans="5:6" x14ac:dyDescent="0.25">
      <c r="E769" s="1">
        <v>46417</v>
      </c>
    </row>
    <row r="770" spans="5:6" x14ac:dyDescent="0.25">
      <c r="E770" s="1">
        <v>46418</v>
      </c>
    </row>
    <row r="771" spans="5:6" x14ac:dyDescent="0.25">
      <c r="E771" s="1">
        <v>46419</v>
      </c>
    </row>
    <row r="772" spans="5:6" x14ac:dyDescent="0.25">
      <c r="E772" s="1">
        <v>46420</v>
      </c>
      <c r="F772">
        <v>218</v>
      </c>
    </row>
    <row r="773" spans="5:6" x14ac:dyDescent="0.25">
      <c r="E773" s="1">
        <v>46421</v>
      </c>
    </row>
    <row r="774" spans="5:6" x14ac:dyDescent="0.25">
      <c r="E774" s="1">
        <v>46422</v>
      </c>
    </row>
    <row r="775" spans="5:6" x14ac:dyDescent="0.25">
      <c r="E775" s="1">
        <v>46423</v>
      </c>
    </row>
    <row r="776" spans="5:6" x14ac:dyDescent="0.25">
      <c r="E776" s="1">
        <v>46424</v>
      </c>
    </row>
    <row r="777" spans="5:6" x14ac:dyDescent="0.25">
      <c r="E777" s="1">
        <v>46425</v>
      </c>
    </row>
    <row r="778" spans="5:6" x14ac:dyDescent="0.25">
      <c r="E778" s="1">
        <v>46426</v>
      </c>
    </row>
    <row r="779" spans="5:6" x14ac:dyDescent="0.25">
      <c r="E779" s="1">
        <v>46427</v>
      </c>
    </row>
    <row r="780" spans="5:6" x14ac:dyDescent="0.25">
      <c r="E780" s="1">
        <v>46428</v>
      </c>
      <c r="F780">
        <v>217</v>
      </c>
    </row>
    <row r="781" spans="5:6" x14ac:dyDescent="0.25">
      <c r="E781" s="1">
        <v>46429</v>
      </c>
    </row>
    <row r="782" spans="5:6" x14ac:dyDescent="0.25">
      <c r="E782" s="1">
        <v>46430</v>
      </c>
    </row>
    <row r="783" spans="5:6" x14ac:dyDescent="0.25">
      <c r="E783" s="1">
        <v>46431</v>
      </c>
    </row>
    <row r="784" spans="5:6" x14ac:dyDescent="0.25">
      <c r="E784" s="1">
        <v>46432</v>
      </c>
    </row>
    <row r="785" spans="5:6" x14ac:dyDescent="0.25">
      <c r="E785" s="1">
        <v>46433</v>
      </c>
    </row>
    <row r="786" spans="5:6" x14ac:dyDescent="0.25">
      <c r="E786" s="1">
        <v>46434</v>
      </c>
    </row>
    <row r="787" spans="5:6" x14ac:dyDescent="0.25">
      <c r="E787" s="1">
        <v>46435</v>
      </c>
    </row>
    <row r="788" spans="5:6" x14ac:dyDescent="0.25">
      <c r="E788" s="1">
        <v>46436</v>
      </c>
    </row>
    <row r="789" spans="5:6" x14ac:dyDescent="0.25">
      <c r="E789" s="1">
        <v>46437</v>
      </c>
      <c r="F789">
        <v>212</v>
      </c>
    </row>
    <row r="790" spans="5:6" x14ac:dyDescent="0.25">
      <c r="E790" s="1">
        <v>46438</v>
      </c>
    </row>
    <row r="791" spans="5:6" x14ac:dyDescent="0.25">
      <c r="E791" s="1">
        <v>46439</v>
      </c>
      <c r="F791">
        <v>214</v>
      </c>
    </row>
    <row r="792" spans="5:6" x14ac:dyDescent="0.25">
      <c r="E792" s="1">
        <v>46440</v>
      </c>
    </row>
    <row r="793" spans="5:6" x14ac:dyDescent="0.25">
      <c r="E793" s="1">
        <v>46441</v>
      </c>
    </row>
    <row r="794" spans="5:6" x14ac:dyDescent="0.25">
      <c r="E794" s="1">
        <v>46442</v>
      </c>
    </row>
    <row r="795" spans="5:6" x14ac:dyDescent="0.25">
      <c r="E795" s="1">
        <v>46443</v>
      </c>
    </row>
    <row r="796" spans="5:6" x14ac:dyDescent="0.25">
      <c r="E796" s="1">
        <v>46444</v>
      </c>
    </row>
    <row r="797" spans="5:6" x14ac:dyDescent="0.25">
      <c r="E797" s="1">
        <v>46445</v>
      </c>
    </row>
    <row r="798" spans="5:6" x14ac:dyDescent="0.25">
      <c r="E798" s="1">
        <v>46446</v>
      </c>
    </row>
    <row r="799" spans="5:6" x14ac:dyDescent="0.25">
      <c r="E799" s="1">
        <v>46447</v>
      </c>
    </row>
    <row r="800" spans="5:6" x14ac:dyDescent="0.25">
      <c r="E800" s="1">
        <v>46448</v>
      </c>
    </row>
    <row r="801" spans="5:5" x14ac:dyDescent="0.25">
      <c r="E801" s="1">
        <v>46449</v>
      </c>
    </row>
    <row r="802" spans="5:5" x14ac:dyDescent="0.25">
      <c r="E802" s="1">
        <v>46450</v>
      </c>
    </row>
    <row r="803" spans="5:5" x14ac:dyDescent="0.25">
      <c r="E803" s="1">
        <v>46451</v>
      </c>
    </row>
    <row r="804" spans="5:5" x14ac:dyDescent="0.25">
      <c r="E804" s="1">
        <v>46452</v>
      </c>
    </row>
    <row r="805" spans="5:5" x14ac:dyDescent="0.25">
      <c r="E805" s="1">
        <v>46453</v>
      </c>
    </row>
    <row r="806" spans="5:5" x14ac:dyDescent="0.25">
      <c r="E806" s="1">
        <v>46454</v>
      </c>
    </row>
    <row r="807" spans="5:5" x14ac:dyDescent="0.25">
      <c r="E807" s="1">
        <v>46455</v>
      </c>
    </row>
    <row r="808" spans="5:5" x14ac:dyDescent="0.25">
      <c r="E808" s="1">
        <v>46456</v>
      </c>
    </row>
    <row r="809" spans="5:5" x14ac:dyDescent="0.25">
      <c r="E809" s="1">
        <v>46457</v>
      </c>
    </row>
    <row r="810" spans="5:5" x14ac:dyDescent="0.25">
      <c r="E810" s="1">
        <v>46458</v>
      </c>
    </row>
    <row r="811" spans="5:5" x14ac:dyDescent="0.25">
      <c r="E811" s="1">
        <v>46459</v>
      </c>
    </row>
    <row r="812" spans="5:5" x14ac:dyDescent="0.25">
      <c r="E812" s="1">
        <v>46460</v>
      </c>
    </row>
    <row r="813" spans="5:5" x14ac:dyDescent="0.25">
      <c r="E813" s="1">
        <v>46461</v>
      </c>
    </row>
    <row r="814" spans="5:5" x14ac:dyDescent="0.25">
      <c r="E814" s="1">
        <v>46462</v>
      </c>
    </row>
    <row r="815" spans="5:5" x14ac:dyDescent="0.25">
      <c r="E815" s="1">
        <v>46463</v>
      </c>
    </row>
    <row r="816" spans="5:5" x14ac:dyDescent="0.25">
      <c r="E816" s="1">
        <v>46464</v>
      </c>
    </row>
    <row r="817" spans="5:5" x14ac:dyDescent="0.25">
      <c r="E817" s="1">
        <v>46465</v>
      </c>
    </row>
    <row r="818" spans="5:5" x14ac:dyDescent="0.25">
      <c r="E818" s="1">
        <v>46466</v>
      </c>
    </row>
    <row r="819" spans="5:5" x14ac:dyDescent="0.25">
      <c r="E819" s="1">
        <v>46467</v>
      </c>
    </row>
    <row r="820" spans="5:5" x14ac:dyDescent="0.25">
      <c r="E820" s="1">
        <v>46468</v>
      </c>
    </row>
    <row r="821" spans="5:5" x14ac:dyDescent="0.25">
      <c r="E821" s="1">
        <v>46469</v>
      </c>
    </row>
    <row r="822" spans="5:5" x14ac:dyDescent="0.25">
      <c r="E822" s="1">
        <v>46470</v>
      </c>
    </row>
    <row r="823" spans="5:5" x14ac:dyDescent="0.25">
      <c r="E823" s="1">
        <v>46471</v>
      </c>
    </row>
    <row r="824" spans="5:5" x14ac:dyDescent="0.25">
      <c r="E824" s="1">
        <v>46472</v>
      </c>
    </row>
    <row r="825" spans="5:5" x14ac:dyDescent="0.25">
      <c r="E825" s="1">
        <v>46473</v>
      </c>
    </row>
    <row r="826" spans="5:5" x14ac:dyDescent="0.25">
      <c r="E826" s="1">
        <v>46474</v>
      </c>
    </row>
    <row r="827" spans="5:5" x14ac:dyDescent="0.25">
      <c r="E827" s="1">
        <v>46475</v>
      </c>
    </row>
    <row r="828" spans="5:5" x14ac:dyDescent="0.25">
      <c r="E828" s="1">
        <v>46476</v>
      </c>
    </row>
    <row r="829" spans="5:5" x14ac:dyDescent="0.25">
      <c r="E829" s="1">
        <v>46477</v>
      </c>
    </row>
    <row r="830" spans="5:5" x14ac:dyDescent="0.25">
      <c r="E830" s="1">
        <v>46478</v>
      </c>
    </row>
    <row r="831" spans="5:5" x14ac:dyDescent="0.25">
      <c r="E831" s="1">
        <v>46479</v>
      </c>
    </row>
    <row r="832" spans="5:5" x14ac:dyDescent="0.25">
      <c r="E832" s="1">
        <v>46480</v>
      </c>
    </row>
    <row r="833" spans="5:5" x14ac:dyDescent="0.25">
      <c r="E833" s="1">
        <v>46481</v>
      </c>
    </row>
    <row r="834" spans="5:5" x14ac:dyDescent="0.25">
      <c r="E834" s="1">
        <v>46482</v>
      </c>
    </row>
    <row r="835" spans="5:5" x14ac:dyDescent="0.25">
      <c r="E835" s="1">
        <v>46483</v>
      </c>
    </row>
    <row r="836" spans="5:5" x14ac:dyDescent="0.25">
      <c r="E836" s="1">
        <v>46484</v>
      </c>
    </row>
    <row r="837" spans="5:5" x14ac:dyDescent="0.25">
      <c r="E837" s="1">
        <v>46485</v>
      </c>
    </row>
    <row r="838" spans="5:5" x14ac:dyDescent="0.25">
      <c r="E838" s="1">
        <v>46486</v>
      </c>
    </row>
    <row r="839" spans="5:5" x14ac:dyDescent="0.25">
      <c r="E839" s="1">
        <v>46487</v>
      </c>
    </row>
    <row r="840" spans="5:5" x14ac:dyDescent="0.25">
      <c r="E840" s="1">
        <v>46488</v>
      </c>
    </row>
    <row r="841" spans="5:5" x14ac:dyDescent="0.25">
      <c r="E841" s="1">
        <v>46489</v>
      </c>
    </row>
    <row r="842" spans="5:5" x14ac:dyDescent="0.25">
      <c r="E842" s="1">
        <v>46490</v>
      </c>
    </row>
    <row r="843" spans="5:5" x14ac:dyDescent="0.25">
      <c r="E843" s="1">
        <v>46491</v>
      </c>
    </row>
    <row r="844" spans="5:5" x14ac:dyDescent="0.25">
      <c r="E844" s="1">
        <v>46492</v>
      </c>
    </row>
    <row r="845" spans="5:5" x14ac:dyDescent="0.25">
      <c r="E845" s="1">
        <v>46493</v>
      </c>
    </row>
    <row r="846" spans="5:5" x14ac:dyDescent="0.25">
      <c r="E846" s="1">
        <v>46494</v>
      </c>
    </row>
    <row r="847" spans="5:5" x14ac:dyDescent="0.25">
      <c r="E847" s="1">
        <v>46495</v>
      </c>
    </row>
    <row r="848" spans="5:5" x14ac:dyDescent="0.25">
      <c r="E848" s="1">
        <v>46496</v>
      </c>
    </row>
    <row r="849" spans="5:5" x14ac:dyDescent="0.25">
      <c r="E849" s="1">
        <v>46497</v>
      </c>
    </row>
    <row r="850" spans="5:5" x14ac:dyDescent="0.25">
      <c r="E850" s="1">
        <v>46498</v>
      </c>
    </row>
    <row r="851" spans="5:5" x14ac:dyDescent="0.25">
      <c r="E851" s="1">
        <v>46499</v>
      </c>
    </row>
    <row r="852" spans="5:5" x14ac:dyDescent="0.25">
      <c r="E852" s="1">
        <v>46500</v>
      </c>
    </row>
    <row r="853" spans="5:5" x14ac:dyDescent="0.25">
      <c r="E853" s="1">
        <v>46501</v>
      </c>
    </row>
    <row r="854" spans="5:5" x14ac:dyDescent="0.25">
      <c r="E854" s="1">
        <v>46502</v>
      </c>
    </row>
    <row r="855" spans="5:5" x14ac:dyDescent="0.25">
      <c r="E855" s="1">
        <v>46503</v>
      </c>
    </row>
    <row r="856" spans="5:5" x14ac:dyDescent="0.25">
      <c r="E856" s="1">
        <v>46504</v>
      </c>
    </row>
    <row r="857" spans="5:5" x14ac:dyDescent="0.25">
      <c r="E857" s="1">
        <v>46505</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 (2)</vt:lpstr>
      <vt:lpstr>Historical</vt:lpstr>
      <vt:lpstr>Inputs</vt:lpstr>
      <vt:lpstr>Simulation</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Spitzer, Jeremy</dc:creator>
  <cp:lastModifiedBy>Spitzer, Jeremy</cp:lastModifiedBy>
  <dcterms:created xsi:type="dcterms:W3CDTF">2025-09-23T15:00:47Z</dcterms:created>
  <dcterms:modified xsi:type="dcterms:W3CDTF">2026-03-19T22:23:08Z</dcterms:modified>
</cp:coreProperties>
</file>